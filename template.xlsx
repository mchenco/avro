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michellechen/CODE/Personal-Projects/shak/"/>
    </mc:Choice>
  </mc:AlternateContent>
  <bookViews>
    <workbookView xWindow="0" yWindow="460" windowWidth="28800" windowHeight="17540" tabRatio="500" activeTab="3"/>
  </bookViews>
  <sheets>
    <sheet name="S1" sheetId="1" r:id="rId1"/>
    <sheet name="S2" sheetId="11" r:id="rId2"/>
    <sheet name="Blank S1" sheetId="10" r:id="rId3"/>
    <sheet name="Blank S2" sheetId="9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6" i="11" l="1"/>
  <c r="N27" i="11"/>
  <c r="N33" i="11"/>
  <c r="M16" i="11"/>
  <c r="M27" i="11"/>
  <c r="M33" i="11"/>
  <c r="L16" i="11"/>
  <c r="L27" i="11"/>
  <c r="L33" i="11"/>
  <c r="K16" i="11"/>
  <c r="K27" i="11"/>
  <c r="K33" i="11"/>
  <c r="J16" i="11"/>
  <c r="J27" i="11"/>
  <c r="J33" i="11"/>
  <c r="I16" i="11"/>
  <c r="I27" i="11"/>
  <c r="I33" i="11"/>
  <c r="H16" i="11"/>
  <c r="H27" i="11"/>
  <c r="H33" i="11"/>
  <c r="G33" i="11"/>
  <c r="N32" i="11"/>
  <c r="M32" i="11"/>
  <c r="L32" i="11"/>
  <c r="K32" i="11"/>
  <c r="J32" i="11"/>
  <c r="I32" i="11"/>
  <c r="H32" i="11"/>
  <c r="G32" i="11"/>
  <c r="N20" i="11"/>
  <c r="N31" i="11"/>
  <c r="M20" i="11"/>
  <c r="M31" i="11"/>
  <c r="L20" i="11"/>
  <c r="L31" i="11"/>
  <c r="K20" i="11"/>
  <c r="K31" i="11"/>
  <c r="J20" i="11"/>
  <c r="J31" i="11"/>
  <c r="I20" i="11"/>
  <c r="I31" i="11"/>
  <c r="H20" i="11"/>
  <c r="H31" i="11"/>
  <c r="F31" i="11"/>
  <c r="N19" i="11"/>
  <c r="N30" i="11"/>
  <c r="M19" i="11"/>
  <c r="M30" i="11"/>
  <c r="L19" i="11"/>
  <c r="L30" i="11"/>
  <c r="K19" i="11"/>
  <c r="K30" i="11"/>
  <c r="J19" i="11"/>
  <c r="J30" i="11"/>
  <c r="I19" i="11"/>
  <c r="I30" i="11"/>
  <c r="H19" i="11"/>
  <c r="H30" i="11"/>
  <c r="F30" i="11"/>
  <c r="N18" i="11"/>
  <c r="N29" i="11"/>
  <c r="M18" i="11"/>
  <c r="M29" i="11"/>
  <c r="L18" i="11"/>
  <c r="L29" i="11"/>
  <c r="K18" i="11"/>
  <c r="K29" i="11"/>
  <c r="J18" i="11"/>
  <c r="J29" i="11"/>
  <c r="I18" i="11"/>
  <c r="I29" i="11"/>
  <c r="H18" i="11"/>
  <c r="H29" i="11"/>
  <c r="F29" i="11"/>
  <c r="N17" i="11"/>
  <c r="N28" i="11"/>
  <c r="M17" i="11"/>
  <c r="M28" i="11"/>
  <c r="L17" i="11"/>
  <c r="L28" i="11"/>
  <c r="K17" i="11"/>
  <c r="K28" i="11"/>
  <c r="J17" i="11"/>
  <c r="J28" i="11"/>
  <c r="I17" i="11"/>
  <c r="I28" i="11"/>
  <c r="H17" i="11"/>
  <c r="H28" i="11"/>
  <c r="F28" i="11"/>
  <c r="F27" i="11"/>
  <c r="N26" i="11"/>
  <c r="M26" i="11"/>
  <c r="L26" i="11"/>
  <c r="K26" i="11"/>
  <c r="J26" i="11"/>
  <c r="I26" i="11"/>
  <c r="H26" i="11"/>
  <c r="G26" i="11"/>
  <c r="N22" i="11"/>
  <c r="M22" i="11"/>
  <c r="L22" i="11"/>
  <c r="K22" i="11"/>
  <c r="J22" i="11"/>
  <c r="I22" i="11"/>
  <c r="H22" i="11"/>
  <c r="G22" i="11"/>
  <c r="N21" i="11"/>
  <c r="M21" i="11"/>
  <c r="L21" i="11"/>
  <c r="K21" i="11"/>
  <c r="J21" i="11"/>
  <c r="I21" i="11"/>
  <c r="H21" i="11"/>
  <c r="G21" i="11"/>
  <c r="F20" i="11"/>
  <c r="F19" i="11"/>
  <c r="F18" i="11"/>
  <c r="F17" i="11"/>
  <c r="F16" i="11"/>
  <c r="N15" i="11"/>
  <c r="M15" i="11"/>
  <c r="L15" i="11"/>
  <c r="K15" i="11"/>
  <c r="J15" i="11"/>
  <c r="I15" i="11"/>
  <c r="H15" i="11"/>
  <c r="G15" i="11"/>
  <c r="N11" i="11"/>
  <c r="M11" i="11"/>
  <c r="L11" i="11"/>
  <c r="K11" i="11"/>
  <c r="J11" i="11"/>
  <c r="I11" i="11"/>
  <c r="H11" i="11"/>
  <c r="G11" i="11"/>
  <c r="N10" i="11"/>
  <c r="M10" i="11"/>
  <c r="L10" i="11"/>
  <c r="K10" i="11"/>
  <c r="J10" i="11"/>
  <c r="I10" i="11"/>
  <c r="H10" i="11"/>
  <c r="G10" i="11"/>
  <c r="N16" i="10"/>
  <c r="N27" i="10"/>
  <c r="N33" i="10"/>
  <c r="M16" i="10"/>
  <c r="M27" i="10"/>
  <c r="M33" i="10"/>
  <c r="L16" i="10"/>
  <c r="L27" i="10"/>
  <c r="L33" i="10"/>
  <c r="K16" i="10"/>
  <c r="K27" i="10"/>
  <c r="K33" i="10"/>
  <c r="J16" i="10"/>
  <c r="J27" i="10"/>
  <c r="J33" i="10"/>
  <c r="I16" i="10"/>
  <c r="I27" i="10"/>
  <c r="I33" i="10"/>
  <c r="H16" i="10"/>
  <c r="H27" i="10"/>
  <c r="H33" i="10"/>
  <c r="G33" i="10"/>
  <c r="N32" i="10"/>
  <c r="M32" i="10"/>
  <c r="L32" i="10"/>
  <c r="K32" i="10"/>
  <c r="J32" i="10"/>
  <c r="I32" i="10"/>
  <c r="H32" i="10"/>
  <c r="G32" i="10"/>
  <c r="N20" i="10"/>
  <c r="N31" i="10"/>
  <c r="M20" i="10"/>
  <c r="M31" i="10"/>
  <c r="L20" i="10"/>
  <c r="L31" i="10"/>
  <c r="K20" i="10"/>
  <c r="K31" i="10"/>
  <c r="J20" i="10"/>
  <c r="J31" i="10"/>
  <c r="I20" i="10"/>
  <c r="I31" i="10"/>
  <c r="H20" i="10"/>
  <c r="H31" i="10"/>
  <c r="F31" i="10"/>
  <c r="N19" i="10"/>
  <c r="N30" i="10"/>
  <c r="M19" i="10"/>
  <c r="M30" i="10"/>
  <c r="L19" i="10"/>
  <c r="L30" i="10"/>
  <c r="K19" i="10"/>
  <c r="K30" i="10"/>
  <c r="J19" i="10"/>
  <c r="J30" i="10"/>
  <c r="I19" i="10"/>
  <c r="I30" i="10"/>
  <c r="H19" i="10"/>
  <c r="H30" i="10"/>
  <c r="F30" i="10"/>
  <c r="N18" i="10"/>
  <c r="N29" i="10"/>
  <c r="M18" i="10"/>
  <c r="M29" i="10"/>
  <c r="L18" i="10"/>
  <c r="L29" i="10"/>
  <c r="K18" i="10"/>
  <c r="K29" i="10"/>
  <c r="J18" i="10"/>
  <c r="J29" i="10"/>
  <c r="I18" i="10"/>
  <c r="I29" i="10"/>
  <c r="H18" i="10"/>
  <c r="H29" i="10"/>
  <c r="F29" i="10"/>
  <c r="N17" i="10"/>
  <c r="N28" i="10"/>
  <c r="M17" i="10"/>
  <c r="M28" i="10"/>
  <c r="L17" i="10"/>
  <c r="L28" i="10"/>
  <c r="K17" i="10"/>
  <c r="K28" i="10"/>
  <c r="J17" i="10"/>
  <c r="J28" i="10"/>
  <c r="I17" i="10"/>
  <c r="I28" i="10"/>
  <c r="H17" i="10"/>
  <c r="H28" i="10"/>
  <c r="F28" i="10"/>
  <c r="F27" i="10"/>
  <c r="N26" i="10"/>
  <c r="M26" i="10"/>
  <c r="L26" i="10"/>
  <c r="K26" i="10"/>
  <c r="J26" i="10"/>
  <c r="I26" i="10"/>
  <c r="H26" i="10"/>
  <c r="G26" i="10"/>
  <c r="N22" i="10"/>
  <c r="M22" i="10"/>
  <c r="L22" i="10"/>
  <c r="K22" i="10"/>
  <c r="J22" i="10"/>
  <c r="I22" i="10"/>
  <c r="H22" i="10"/>
  <c r="G22" i="10"/>
  <c r="N21" i="10"/>
  <c r="M21" i="10"/>
  <c r="L21" i="10"/>
  <c r="K21" i="10"/>
  <c r="J21" i="10"/>
  <c r="I21" i="10"/>
  <c r="H21" i="10"/>
  <c r="G21" i="10"/>
  <c r="F20" i="10"/>
  <c r="F19" i="10"/>
  <c r="F18" i="10"/>
  <c r="F17" i="10"/>
  <c r="F16" i="10"/>
  <c r="N15" i="10"/>
  <c r="M15" i="10"/>
  <c r="L15" i="10"/>
  <c r="K15" i="10"/>
  <c r="J15" i="10"/>
  <c r="I15" i="10"/>
  <c r="H15" i="10"/>
  <c r="G15" i="10"/>
  <c r="N11" i="10"/>
  <c r="M11" i="10"/>
  <c r="L11" i="10"/>
  <c r="K11" i="10"/>
  <c r="J11" i="10"/>
  <c r="I11" i="10"/>
  <c r="H11" i="10"/>
  <c r="G11" i="10"/>
  <c r="N10" i="10"/>
  <c r="M10" i="10"/>
  <c r="L10" i="10"/>
  <c r="K10" i="10"/>
  <c r="J10" i="10"/>
  <c r="I10" i="10"/>
  <c r="H10" i="10"/>
  <c r="G10" i="10"/>
  <c r="N16" i="9"/>
  <c r="N27" i="9"/>
  <c r="N33" i="9"/>
  <c r="M16" i="9"/>
  <c r="M27" i="9"/>
  <c r="M33" i="9"/>
  <c r="L16" i="9"/>
  <c r="L27" i="9"/>
  <c r="L33" i="9"/>
  <c r="K16" i="9"/>
  <c r="K27" i="9"/>
  <c r="K33" i="9"/>
  <c r="J16" i="9"/>
  <c r="J27" i="9"/>
  <c r="J33" i="9"/>
  <c r="I16" i="9"/>
  <c r="I27" i="9"/>
  <c r="I33" i="9"/>
  <c r="H16" i="9"/>
  <c r="H27" i="9"/>
  <c r="H33" i="9"/>
  <c r="G33" i="9"/>
  <c r="N32" i="9"/>
  <c r="M32" i="9"/>
  <c r="L32" i="9"/>
  <c r="K32" i="9"/>
  <c r="J32" i="9"/>
  <c r="I32" i="9"/>
  <c r="H32" i="9"/>
  <c r="G32" i="9"/>
  <c r="N20" i="9"/>
  <c r="N31" i="9"/>
  <c r="M20" i="9"/>
  <c r="M31" i="9"/>
  <c r="L20" i="9"/>
  <c r="L31" i="9"/>
  <c r="K20" i="9"/>
  <c r="K31" i="9"/>
  <c r="J20" i="9"/>
  <c r="J31" i="9"/>
  <c r="I20" i="9"/>
  <c r="I31" i="9"/>
  <c r="H20" i="9"/>
  <c r="H31" i="9"/>
  <c r="F31" i="9"/>
  <c r="N19" i="9"/>
  <c r="N30" i="9"/>
  <c r="M19" i="9"/>
  <c r="M30" i="9"/>
  <c r="L19" i="9"/>
  <c r="L30" i="9"/>
  <c r="K19" i="9"/>
  <c r="K30" i="9"/>
  <c r="J19" i="9"/>
  <c r="J30" i="9"/>
  <c r="I19" i="9"/>
  <c r="I30" i="9"/>
  <c r="H19" i="9"/>
  <c r="H30" i="9"/>
  <c r="F30" i="9"/>
  <c r="N18" i="9"/>
  <c r="N29" i="9"/>
  <c r="M18" i="9"/>
  <c r="M29" i="9"/>
  <c r="L18" i="9"/>
  <c r="L29" i="9"/>
  <c r="K18" i="9"/>
  <c r="K29" i="9"/>
  <c r="J18" i="9"/>
  <c r="J29" i="9"/>
  <c r="I18" i="9"/>
  <c r="I29" i="9"/>
  <c r="H18" i="9"/>
  <c r="H29" i="9"/>
  <c r="F29" i="9"/>
  <c r="N17" i="9"/>
  <c r="N28" i="9"/>
  <c r="M17" i="9"/>
  <c r="M28" i="9"/>
  <c r="L17" i="9"/>
  <c r="L28" i="9"/>
  <c r="K17" i="9"/>
  <c r="K28" i="9"/>
  <c r="J17" i="9"/>
  <c r="J28" i="9"/>
  <c r="I17" i="9"/>
  <c r="I28" i="9"/>
  <c r="H17" i="9"/>
  <c r="H28" i="9"/>
  <c r="F28" i="9"/>
  <c r="F27" i="9"/>
  <c r="N26" i="9"/>
  <c r="M26" i="9"/>
  <c r="L26" i="9"/>
  <c r="K26" i="9"/>
  <c r="J26" i="9"/>
  <c r="I26" i="9"/>
  <c r="H26" i="9"/>
  <c r="G26" i="9"/>
  <c r="N22" i="9"/>
  <c r="M22" i="9"/>
  <c r="L22" i="9"/>
  <c r="K22" i="9"/>
  <c r="J22" i="9"/>
  <c r="I22" i="9"/>
  <c r="H22" i="9"/>
  <c r="G22" i="9"/>
  <c r="N21" i="9"/>
  <c r="M21" i="9"/>
  <c r="L21" i="9"/>
  <c r="K21" i="9"/>
  <c r="J21" i="9"/>
  <c r="I21" i="9"/>
  <c r="H21" i="9"/>
  <c r="G21" i="9"/>
  <c r="F20" i="9"/>
  <c r="F19" i="9"/>
  <c r="F18" i="9"/>
  <c r="F17" i="9"/>
  <c r="F16" i="9"/>
  <c r="N15" i="9"/>
  <c r="M15" i="9"/>
  <c r="L15" i="9"/>
  <c r="K15" i="9"/>
  <c r="J15" i="9"/>
  <c r="I15" i="9"/>
  <c r="H15" i="9"/>
  <c r="G15" i="9"/>
  <c r="N11" i="9"/>
  <c r="M11" i="9"/>
  <c r="L11" i="9"/>
  <c r="K11" i="9"/>
  <c r="J11" i="9"/>
  <c r="I11" i="9"/>
  <c r="H11" i="9"/>
  <c r="G11" i="9"/>
  <c r="N10" i="9"/>
  <c r="M10" i="9"/>
  <c r="L10" i="9"/>
  <c r="K10" i="9"/>
  <c r="J10" i="9"/>
  <c r="I10" i="9"/>
  <c r="H10" i="9"/>
  <c r="G10" i="9"/>
  <c r="N16" i="1"/>
  <c r="N27" i="1"/>
  <c r="N33" i="1"/>
  <c r="M16" i="1"/>
  <c r="M27" i="1"/>
  <c r="M33" i="1"/>
  <c r="L16" i="1"/>
  <c r="L27" i="1"/>
  <c r="L33" i="1"/>
  <c r="K16" i="1"/>
  <c r="K27" i="1"/>
  <c r="K33" i="1"/>
  <c r="J16" i="1"/>
  <c r="J27" i="1"/>
  <c r="J33" i="1"/>
  <c r="I16" i="1"/>
  <c r="I27" i="1"/>
  <c r="I33" i="1"/>
  <c r="H16" i="1"/>
  <c r="H27" i="1"/>
  <c r="H33" i="1"/>
  <c r="G33" i="1"/>
  <c r="N32" i="1"/>
  <c r="M32" i="1"/>
  <c r="L32" i="1"/>
  <c r="K32" i="1"/>
  <c r="J32" i="1"/>
  <c r="I32" i="1"/>
  <c r="H32" i="1"/>
  <c r="G32" i="1"/>
  <c r="N20" i="1"/>
  <c r="N31" i="1"/>
  <c r="M20" i="1"/>
  <c r="M31" i="1"/>
  <c r="L20" i="1"/>
  <c r="L31" i="1"/>
  <c r="K20" i="1"/>
  <c r="K31" i="1"/>
  <c r="J20" i="1"/>
  <c r="J31" i="1"/>
  <c r="I20" i="1"/>
  <c r="I31" i="1"/>
  <c r="H20" i="1"/>
  <c r="H31" i="1"/>
  <c r="F31" i="1"/>
  <c r="N19" i="1"/>
  <c r="N30" i="1"/>
  <c r="M19" i="1"/>
  <c r="M30" i="1"/>
  <c r="L19" i="1"/>
  <c r="L30" i="1"/>
  <c r="K19" i="1"/>
  <c r="K30" i="1"/>
  <c r="J19" i="1"/>
  <c r="J30" i="1"/>
  <c r="I19" i="1"/>
  <c r="I30" i="1"/>
  <c r="H19" i="1"/>
  <c r="H30" i="1"/>
  <c r="F30" i="1"/>
  <c r="N18" i="1"/>
  <c r="N29" i="1"/>
  <c r="M18" i="1"/>
  <c r="M29" i="1"/>
  <c r="L18" i="1"/>
  <c r="L29" i="1"/>
  <c r="K18" i="1"/>
  <c r="K29" i="1"/>
  <c r="J18" i="1"/>
  <c r="J29" i="1"/>
  <c r="I18" i="1"/>
  <c r="I29" i="1"/>
  <c r="H18" i="1"/>
  <c r="H29" i="1"/>
  <c r="F29" i="1"/>
  <c r="N17" i="1"/>
  <c r="N28" i="1"/>
  <c r="M17" i="1"/>
  <c r="M28" i="1"/>
  <c r="L17" i="1"/>
  <c r="L28" i="1"/>
  <c r="K17" i="1"/>
  <c r="K28" i="1"/>
  <c r="J17" i="1"/>
  <c r="J28" i="1"/>
  <c r="I17" i="1"/>
  <c r="I28" i="1"/>
  <c r="H17" i="1"/>
  <c r="H28" i="1"/>
  <c r="F28" i="1"/>
  <c r="F27" i="1"/>
  <c r="N26" i="1"/>
  <c r="M26" i="1"/>
  <c r="L26" i="1"/>
  <c r="K26" i="1"/>
  <c r="J26" i="1"/>
  <c r="I26" i="1"/>
  <c r="H26" i="1"/>
  <c r="G26" i="1"/>
  <c r="N22" i="1"/>
  <c r="M22" i="1"/>
  <c r="L22" i="1"/>
  <c r="K22" i="1"/>
  <c r="J22" i="1"/>
  <c r="I22" i="1"/>
  <c r="H22" i="1"/>
  <c r="G22" i="1"/>
  <c r="N21" i="1"/>
  <c r="M21" i="1"/>
  <c r="L21" i="1"/>
  <c r="K21" i="1"/>
  <c r="J21" i="1"/>
  <c r="I21" i="1"/>
  <c r="H21" i="1"/>
  <c r="G21" i="1"/>
  <c r="F20" i="1"/>
  <c r="F19" i="1"/>
  <c r="F18" i="1"/>
  <c r="F17" i="1"/>
  <c r="F16" i="1"/>
  <c r="N15" i="1"/>
  <c r="M15" i="1"/>
  <c r="L15" i="1"/>
  <c r="K15" i="1"/>
  <c r="J15" i="1"/>
  <c r="I15" i="1"/>
  <c r="H15" i="1"/>
  <c r="G15" i="1"/>
  <c r="N11" i="1"/>
  <c r="M11" i="1"/>
  <c r="L11" i="1"/>
  <c r="K11" i="1"/>
  <c r="J11" i="1"/>
  <c r="I11" i="1"/>
  <c r="H11" i="1"/>
  <c r="G11" i="1"/>
  <c r="N10" i="1"/>
  <c r="M10" i="1"/>
  <c r="L10" i="1"/>
  <c r="K10" i="1"/>
  <c r="J10" i="1"/>
  <c r="I10" i="1"/>
  <c r="H10" i="1"/>
  <c r="G10" i="1"/>
</calcChain>
</file>

<file path=xl/sharedStrings.xml><?xml version="1.0" encoding="utf-8"?>
<sst xmlns="http://schemas.openxmlformats.org/spreadsheetml/2006/main" count="200" uniqueCount="28">
  <si>
    <t>Test Start Date</t>
  </si>
  <si>
    <t>[TO BE FILLED]</t>
  </si>
  <si>
    <t>[yyyymmdd]</t>
  </si>
  <si>
    <t>API CONCENTRATION (Raw HPLC data) (ug/mL)</t>
  </si>
  <si>
    <t>Test End Date</t>
  </si>
  <si>
    <t>Time Elapsed (hrs)</t>
  </si>
  <si>
    <t>Test Duration</t>
  </si>
  <si>
    <t>[ex. 72 hrs]</t>
  </si>
  <si>
    <t>Cell</t>
  </si>
  <si>
    <t>-</t>
  </si>
  <si>
    <t>Formulation ID</t>
  </si>
  <si>
    <t>[ex. CAGE]</t>
  </si>
  <si>
    <t>Drug(s)</t>
  </si>
  <si>
    <t>[ex. Caffeine]</t>
  </si>
  <si>
    <t>Cell Volume</t>
  </si>
  <si>
    <t>[ex. 40 mL]</t>
  </si>
  <si>
    <t># Cells</t>
  </si>
  <si>
    <t>[ex. 3 cells]</t>
  </si>
  <si>
    <t>Skin</t>
  </si>
  <si>
    <t>[ex. Stellen]</t>
  </si>
  <si>
    <t>avg.</t>
  </si>
  <si>
    <t>Receptor Solution</t>
  </si>
  <si>
    <t>[ex. PBS]</t>
  </si>
  <si>
    <t>st. dev.</t>
  </si>
  <si>
    <t>Patch</t>
  </si>
  <si>
    <t>API Mass (g)</t>
  </si>
  <si>
    <t>API MASS DIFFUSED (mg)</t>
  </si>
  <si>
    <t>API % DIFFUSION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</si>
</sst>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9" x14ac:knownFonts="1">
    <font>
      <sz val="11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i/>
      <sz val="11"/>
      <color theme="1"/>
      <name val="Calibri"/>
    </font>
    <font>
      <sz val="11"/>
      <name val="Arial"/>
    </font>
    <font>
      <b/>
      <i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E7E6E6"/>
        <bgColor rgb="FFE7E6E6"/>
      </patternFill>
    </fill>
    <fill>
      <patternFill patternType="solid">
        <fgColor rgb="FFB4C6E7"/>
        <bgColor rgb="FFB4C6E7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/>
    <xf numFmtId="0" fontId="2" fillId="0" borderId="1" xfId="0" applyFont="1" applyBorder="1"/>
    <xf numFmtId="164" fontId="1" fillId="2" borderId="2" xfId="0" applyNumberFormat="1" applyFont="1" applyFill="1" applyBorder="1"/>
    <xf numFmtId="0" fontId="3" fillId="3" borderId="3" xfId="0" applyFont="1" applyFill="1" applyBorder="1"/>
    <xf numFmtId="0" fontId="2" fillId="0" borderId="0" xfId="0" applyFont="1" applyAlignment="1">
      <alignment horizontal="center"/>
    </xf>
    <xf numFmtId="0" fontId="2" fillId="0" borderId="7" xfId="0" applyFont="1" applyBorder="1"/>
    <xf numFmtId="164" fontId="1" fillId="2" borderId="8" xfId="0" applyNumberFormat="1" applyFont="1" applyFill="1" applyBorder="1"/>
    <xf numFmtId="0" fontId="3" fillId="3" borderId="9" xfId="0" applyFont="1" applyFill="1" applyBorder="1"/>
    <xf numFmtId="0" fontId="2" fillId="0" borderId="13" xfId="0" applyFont="1" applyBorder="1"/>
    <xf numFmtId="0" fontId="1" fillId="2" borderId="14" xfId="0" applyFont="1" applyFill="1" applyBorder="1"/>
    <xf numFmtId="0" fontId="3" fillId="3" borderId="15" xfId="0" applyFont="1" applyFill="1" applyBorder="1"/>
    <xf numFmtId="0" fontId="2" fillId="5" borderId="16" xfId="0" applyFont="1" applyFill="1" applyBorder="1" applyAlignment="1">
      <alignment horizontal="center"/>
    </xf>
    <xf numFmtId="0" fontId="2" fillId="6" borderId="17" xfId="0" applyFont="1" applyFill="1" applyBorder="1"/>
    <xf numFmtId="0" fontId="6" fillId="6" borderId="18" xfId="0" applyFont="1" applyFill="1" applyBorder="1" applyAlignment="1"/>
    <xf numFmtId="0" fontId="6" fillId="6" borderId="19" xfId="0" applyFont="1" applyFill="1" applyBorder="1" applyAlignment="1"/>
    <xf numFmtId="0" fontId="2" fillId="0" borderId="0" xfId="0" applyFont="1"/>
    <xf numFmtId="0" fontId="2" fillId="6" borderId="20" xfId="0" applyFont="1" applyFill="1" applyBorder="1" applyAlignment="1">
      <alignment horizontal="center"/>
    </xf>
    <xf numFmtId="0" fontId="1" fillId="6" borderId="21" xfId="0" applyFont="1" applyFill="1" applyBorder="1"/>
    <xf numFmtId="0" fontId="7" fillId="0" borderId="22" xfId="0" applyFont="1" applyBorder="1" applyAlignment="1"/>
    <xf numFmtId="0" fontId="1" fillId="0" borderId="22" xfId="0" applyFont="1" applyBorder="1"/>
    <xf numFmtId="0" fontId="1" fillId="0" borderId="23" xfId="0" applyFont="1" applyBorder="1"/>
    <xf numFmtId="0" fontId="8" fillId="0" borderId="24" xfId="0" applyFont="1" applyBorder="1" applyAlignment="1">
      <alignment horizontal="right" wrapText="1"/>
    </xf>
    <xf numFmtId="0" fontId="1" fillId="2" borderId="2" xfId="0" applyFont="1" applyFill="1" applyBorder="1"/>
    <xf numFmtId="0" fontId="2" fillId="6" borderId="25" xfId="0" applyFont="1" applyFill="1" applyBorder="1" applyAlignment="1">
      <alignment horizontal="center"/>
    </xf>
    <xf numFmtId="0" fontId="7" fillId="0" borderId="0" xfId="0" applyFont="1" applyAlignment="1"/>
    <xf numFmtId="0" fontId="1" fillId="0" borderId="26" xfId="0" applyFont="1" applyBorder="1"/>
    <xf numFmtId="0" fontId="1" fillId="2" borderId="8" xfId="0" applyFont="1" applyFill="1" applyBorder="1"/>
    <xf numFmtId="0" fontId="1" fillId="7" borderId="8" xfId="0" applyFont="1" applyFill="1" applyBorder="1"/>
    <xf numFmtId="0" fontId="2" fillId="6" borderId="27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2" fillId="2" borderId="16" xfId="0" applyFont="1" applyFill="1" applyBorder="1" applyAlignment="1">
      <alignment horizontal="center"/>
    </xf>
    <xf numFmtId="0" fontId="1" fillId="8" borderId="30" xfId="0" applyFont="1" applyFill="1" applyBorder="1"/>
    <xf numFmtId="0" fontId="1" fillId="8" borderId="2" xfId="0" applyFont="1" applyFill="1" applyBorder="1"/>
    <xf numFmtId="0" fontId="1" fillId="8" borderId="3" xfId="0" applyFont="1" applyFill="1" applyBorder="1"/>
    <xf numFmtId="0" fontId="2" fillId="2" borderId="27" xfId="0" applyFont="1" applyFill="1" applyBorder="1" applyAlignment="1">
      <alignment horizontal="center"/>
    </xf>
    <xf numFmtId="0" fontId="1" fillId="8" borderId="31" xfId="0" applyFont="1" applyFill="1" applyBorder="1"/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7" borderId="16" xfId="0" applyFont="1" applyFill="1" applyBorder="1"/>
    <xf numFmtId="0" fontId="1" fillId="0" borderId="0" xfId="0" applyFont="1" applyAlignment="1">
      <alignment horizontal="center"/>
    </xf>
    <xf numFmtId="0" fontId="1" fillId="0" borderId="34" xfId="0" applyFont="1" applyBorder="1" applyAlignment="1">
      <alignment horizontal="center"/>
    </xf>
    <xf numFmtId="0" fontId="1" fillId="7" borderId="35" xfId="0" applyFont="1" applyFill="1" applyBorder="1"/>
    <xf numFmtId="0" fontId="6" fillId="6" borderId="17" xfId="0" applyFont="1" applyFill="1" applyBorder="1" applyAlignment="1"/>
    <xf numFmtId="0" fontId="1" fillId="6" borderId="36" xfId="0" applyFont="1" applyFill="1" applyBorder="1"/>
    <xf numFmtId="0" fontId="1" fillId="6" borderId="37" xfId="0" applyFont="1" applyFill="1" applyBorder="1"/>
    <xf numFmtId="0" fontId="1" fillId="0" borderId="38" xfId="0" applyFont="1" applyBorder="1" applyAlignment="1">
      <alignment horizontal="center"/>
    </xf>
    <xf numFmtId="0" fontId="1" fillId="7" borderId="39" xfId="0" applyFont="1" applyFill="1" applyBorder="1"/>
    <xf numFmtId="0" fontId="1" fillId="6" borderId="40" xfId="0" applyFont="1" applyFill="1" applyBorder="1"/>
    <xf numFmtId="9" fontId="1" fillId="6" borderId="36" xfId="0" applyNumberFormat="1" applyFont="1" applyFill="1" applyBorder="1"/>
    <xf numFmtId="9" fontId="1" fillId="0" borderId="22" xfId="0" applyNumberFormat="1" applyFont="1" applyBorder="1"/>
    <xf numFmtId="9" fontId="1" fillId="0" borderId="23" xfId="0" applyNumberFormat="1" applyFont="1" applyBorder="1"/>
    <xf numFmtId="9" fontId="1" fillId="6" borderId="37" xfId="0" applyNumberFormat="1" applyFont="1" applyFill="1" applyBorder="1"/>
    <xf numFmtId="9" fontId="1" fillId="0" borderId="0" xfId="0" applyNumberFormat="1" applyFont="1"/>
    <xf numFmtId="9" fontId="1" fillId="0" borderId="26" xfId="0" applyNumberFormat="1" applyFont="1" applyBorder="1"/>
    <xf numFmtId="9" fontId="1" fillId="6" borderId="40" xfId="0" applyNumberFormat="1" applyFont="1" applyFill="1" applyBorder="1"/>
    <xf numFmtId="9" fontId="1" fillId="0" borderId="28" xfId="0" applyNumberFormat="1" applyFont="1" applyBorder="1"/>
    <xf numFmtId="9" fontId="1" fillId="8" borderId="30" xfId="0" applyNumberFormat="1" applyFont="1" applyFill="1" applyBorder="1"/>
    <xf numFmtId="9" fontId="1" fillId="8" borderId="2" xfId="0" applyNumberFormat="1" applyFont="1" applyFill="1" applyBorder="1"/>
    <xf numFmtId="0" fontId="5" fillId="5" borderId="10" xfId="0" applyFont="1" applyFill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2" fillId="4" borderId="4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6" fillId="7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1"/>
  <c:style val="18"/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+mn-lt"/>
              </a:defRPr>
            </a:pPr>
            <a:r>
              <a:rPr lang="en-US" sz="1400" b="0" i="0">
                <a:solidFill>
                  <a:srgbClr val="595959"/>
                </a:solidFill>
                <a:latin typeface="+mn-lt"/>
              </a:rPr>
              <a:t>DRUG NAME Individual Diffusion Results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'S1'!$G$26:$N$26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'S1'!$G$27:$N$27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'S1'!$G$26:$N$26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'S1'!$G$28:$N$28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strRef>
              <c:f>'S1'!$G$26:$N$26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'S1'!$G$29:$N$29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strRef>
              <c:f>'S1'!$G$26:$N$26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'S1'!$G$30:$N$30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strRef>
              <c:f>'S1'!$G$26:$N$26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'S1'!$G$31:$N$31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011600"/>
        <c:axId val="712127008"/>
      </c:scatterChart>
      <c:valAx>
        <c:axId val="7130116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Time Elapsed (hrs)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712127008"/>
        <c:crosses val="autoZero"/>
        <c:crossBetween val="midCat"/>
      </c:valAx>
      <c:valAx>
        <c:axId val="712127008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API % Diffusion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71301160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595959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1"/>
  <c:style val="18"/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+mn-lt"/>
              </a:defRPr>
            </a:pPr>
            <a:r>
              <a:rPr lang="en-US" sz="1400" b="0" i="0">
                <a:solidFill>
                  <a:srgbClr val="595959"/>
                </a:solidFill>
                <a:latin typeface="+mn-lt"/>
              </a:rPr>
              <a:t>DRUG NAME Average Diffusion Results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'S1'!$G$26:$N$26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'S1'!$G$32:$N$32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249936"/>
        <c:axId val="712077392"/>
      </c:scatterChart>
      <c:valAx>
        <c:axId val="7122499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Time Elapsed (hrs)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712077392"/>
        <c:crosses val="autoZero"/>
        <c:crossBetween val="midCat"/>
      </c:valAx>
      <c:valAx>
        <c:axId val="71207739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API % Diffusion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71224993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595959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1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+mn-lt"/>
              </a:defRPr>
            </a:pPr>
            <a:r>
              <a:rPr lang="en-US" sz="1400" b="0" i="0">
                <a:solidFill>
                  <a:srgbClr val="595959"/>
                </a:solidFill>
                <a:latin typeface="+mn-lt"/>
              </a:rPr>
              <a:t>DRUG NAME Individual Diffusion Results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'S2'!$G$26:$N$26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'S2'!$G$27:$N$27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'S2'!$G$26:$N$26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'S2'!$G$28:$N$28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strRef>
              <c:f>'S2'!$G$26:$N$26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'S2'!$G$29:$N$29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strRef>
              <c:f>'S2'!$G$26:$N$26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'S2'!$G$30:$N$30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strRef>
              <c:f>'S2'!$G$26:$N$26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'S2'!$G$31:$N$31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325072"/>
        <c:axId val="709738384"/>
      </c:scatterChart>
      <c:valAx>
        <c:axId val="7093250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Time Elapsed (hrs)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709738384"/>
        <c:crosses val="autoZero"/>
        <c:crossBetween val="midCat"/>
      </c:valAx>
      <c:valAx>
        <c:axId val="70973838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API % Diffusion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70932507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595959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1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+mn-lt"/>
              </a:defRPr>
            </a:pPr>
            <a:r>
              <a:rPr lang="en-US" sz="1400" b="0" i="0">
                <a:solidFill>
                  <a:srgbClr val="595959"/>
                </a:solidFill>
                <a:latin typeface="+mn-lt"/>
              </a:rPr>
              <a:t>DRUG NAME Average Diffusion Results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'S2'!$G$26:$N$26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'S2'!$G$32:$N$32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21424"/>
        <c:axId val="745216720"/>
      </c:scatterChart>
      <c:valAx>
        <c:axId val="7454214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Time Elapsed (hrs)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745216720"/>
        <c:crosses val="autoZero"/>
        <c:crossBetween val="midCat"/>
      </c:valAx>
      <c:valAx>
        <c:axId val="745216720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API % Diffusion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74542142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595959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1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+mn-lt"/>
              </a:defRPr>
            </a:pPr>
            <a:r>
              <a:rPr lang="en-US" sz="1400" b="0" i="0">
                <a:solidFill>
                  <a:srgbClr val="595959"/>
                </a:solidFill>
                <a:latin typeface="+mn-lt"/>
              </a:rPr>
              <a:t>DRUG NAME Individual Diffusion Results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'Blank S1'!$G$26:$N$26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'Blank S1'!$G$27:$N$27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'Blank S1'!$G$26:$N$26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'Blank S1'!$G$28:$N$28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strRef>
              <c:f>'Blank S1'!$G$26:$N$26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'Blank S1'!$G$29:$N$29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strRef>
              <c:f>'Blank S1'!$G$26:$N$26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'Blank S1'!$G$30:$N$30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strRef>
              <c:f>'Blank S1'!$G$26:$N$26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'Blank S1'!$G$31:$N$31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565696"/>
        <c:axId val="655060896"/>
      </c:scatterChart>
      <c:valAx>
        <c:axId val="7065656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Time Elapsed (hrs)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655060896"/>
        <c:crosses val="autoZero"/>
        <c:crossBetween val="midCat"/>
      </c:valAx>
      <c:valAx>
        <c:axId val="65506089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API % Diffusion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70656569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595959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1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+mn-lt"/>
              </a:defRPr>
            </a:pPr>
            <a:r>
              <a:rPr lang="en-US" sz="1400" b="0" i="0">
                <a:solidFill>
                  <a:srgbClr val="595959"/>
                </a:solidFill>
                <a:latin typeface="+mn-lt"/>
              </a:rPr>
              <a:t>DRUG NAME Average Diffusion Results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'Blank S1'!$G$26:$N$26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'Blank S1'!$G$32:$N$32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724768"/>
        <c:axId val="733775904"/>
      </c:scatterChart>
      <c:valAx>
        <c:axId val="7417247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Time Elapsed (hrs)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733775904"/>
        <c:crosses val="autoZero"/>
        <c:crossBetween val="midCat"/>
      </c:valAx>
      <c:valAx>
        <c:axId val="73377590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API % Diffusion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74172476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595959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1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+mn-lt"/>
              </a:defRPr>
            </a:pPr>
            <a:r>
              <a:rPr lang="en-US" sz="1400" b="0" i="0">
                <a:solidFill>
                  <a:srgbClr val="595959"/>
                </a:solidFill>
                <a:latin typeface="+mn-lt"/>
              </a:rPr>
              <a:t>DRUG NAME Individual Diffusion Results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'Blank S2'!$G$26:$N$26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'Blank S2'!$G$27:$N$27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'Blank S2'!$G$26:$N$26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'Blank S2'!$G$28:$N$28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strRef>
              <c:f>'Blank S2'!$G$26:$N$26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'Blank S2'!$G$29:$N$29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strRef>
              <c:f>'Blank S2'!$G$26:$N$26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'Blank S2'!$G$30:$N$30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strRef>
              <c:f>'Blank S2'!$G$26:$N$26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'Blank S2'!$G$31:$N$31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89744"/>
        <c:axId val="745495424"/>
      </c:scatterChart>
      <c:valAx>
        <c:axId val="7454897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Time Elapsed (hrs)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745495424"/>
        <c:crosses val="autoZero"/>
        <c:crossBetween val="midCat"/>
      </c:valAx>
      <c:valAx>
        <c:axId val="74549542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API % Diffusion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745489744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lvl="0">
            <a:defRPr sz="900" b="0" i="0">
              <a:solidFill>
                <a:srgbClr val="595959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1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+mn-lt"/>
              </a:defRPr>
            </a:pPr>
            <a:r>
              <a:rPr lang="en-US" sz="1400" b="0" i="0">
                <a:solidFill>
                  <a:srgbClr val="595959"/>
                </a:solidFill>
                <a:latin typeface="+mn-lt"/>
              </a:rPr>
              <a:t>DRUG NAME Average Diffusion Results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'Blank S2'!$G$26:$N$26</c:f>
              <c:strCache>
                <c:ptCount val="8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-</c:v>
                </c:pt>
                <c:pt idx="7">
                  <c:v>-</c:v>
                </c:pt>
              </c:strCache>
            </c:strRef>
          </c:xVal>
          <c:yVal>
            <c:numRef>
              <c:f>'Blank S2'!$G$32:$N$32</c:f>
              <c:numCache>
                <c:formatCode>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028192"/>
        <c:axId val="605210176"/>
      </c:scatterChart>
      <c:valAx>
        <c:axId val="7120281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Time Elapsed (hrs)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605210176"/>
        <c:crosses val="autoZero"/>
        <c:crossBetween val="midCat"/>
      </c:valAx>
      <c:valAx>
        <c:axId val="60521017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595959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595959"/>
                    </a:solidFill>
                    <a:latin typeface="+mn-lt"/>
                  </a:rPr>
                  <a:t>API % Diffusion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712028192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lvl="0">
            <a:defRPr sz="900" b="0" i="0">
              <a:solidFill>
                <a:srgbClr val="595959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</xdr:colOff>
      <xdr:row>1</xdr:row>
      <xdr:rowOff>19050</xdr:rowOff>
    </xdr:from>
    <xdr:ext cx="5029200" cy="305752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28575</xdr:colOff>
      <xdr:row>19</xdr:row>
      <xdr:rowOff>19050</xdr:rowOff>
    </xdr:from>
    <xdr:ext cx="5029200" cy="306705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</xdr:colOff>
      <xdr:row>1</xdr:row>
      <xdr:rowOff>19050</xdr:rowOff>
    </xdr:from>
    <xdr:ext cx="5029200" cy="3057525"/>
    <xdr:graphicFrame macro="">
      <xdr:nvGraphicFramePr>
        <xdr:cNvPr id="2" name="Chart 1" title="Char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28575</xdr:colOff>
      <xdr:row>19</xdr:row>
      <xdr:rowOff>19050</xdr:rowOff>
    </xdr:from>
    <xdr:ext cx="5029200" cy="306705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</xdr:colOff>
      <xdr:row>1</xdr:row>
      <xdr:rowOff>19050</xdr:rowOff>
    </xdr:from>
    <xdr:ext cx="5029200" cy="3057525"/>
    <xdr:graphicFrame macro="">
      <xdr:nvGraphicFramePr>
        <xdr:cNvPr id="2" name="Chart 1" title="Char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28575</xdr:colOff>
      <xdr:row>19</xdr:row>
      <xdr:rowOff>19050</xdr:rowOff>
    </xdr:from>
    <xdr:ext cx="5029200" cy="306705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</xdr:colOff>
      <xdr:row>1</xdr:row>
      <xdr:rowOff>19050</xdr:rowOff>
    </xdr:from>
    <xdr:ext cx="5029200" cy="3057525"/>
    <xdr:graphicFrame macro="">
      <xdr:nvGraphicFramePr>
        <xdr:cNvPr id="2" name="Chart 1" title="Char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28575</xdr:colOff>
      <xdr:row>19</xdr:row>
      <xdr:rowOff>19050</xdr:rowOff>
    </xdr:from>
    <xdr:ext cx="5029200" cy="306705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00"/>
  <sheetViews>
    <sheetView workbookViewId="0">
      <selection activeCell="B38" sqref="B38"/>
    </sheetView>
  </sheetViews>
  <sheetFormatPr baseColWidth="10" defaultColWidth="12.6640625" defaultRowHeight="15" customHeight="1" x14ac:dyDescent="0.15"/>
  <cols>
    <col min="1" max="1" width="7.83203125" customWidth="1"/>
    <col min="2" max="2" width="14.83203125" customWidth="1"/>
    <col min="3" max="3" width="15" customWidth="1"/>
    <col min="4" max="4" width="11.6640625" customWidth="1"/>
    <col min="5" max="5" width="7.83203125" customWidth="1"/>
    <col min="6" max="14" width="5.6640625" customWidth="1"/>
    <col min="15" max="26" width="7.83203125" customWidth="1"/>
  </cols>
  <sheetData>
    <row r="1" spans="2:15" ht="14.25" customHeight="1" x14ac:dyDescent="0.2">
      <c r="B1" s="1"/>
      <c r="C1" s="1"/>
      <c r="D1" s="1"/>
      <c r="E1" s="1"/>
    </row>
    <row r="2" spans="2:15" ht="14.25" customHeight="1" x14ac:dyDescent="0.2">
      <c r="B2" s="2" t="s">
        <v>0</v>
      </c>
      <c r="C2" s="3" t="s">
        <v>1</v>
      </c>
      <c r="D2" s="4" t="s">
        <v>2</v>
      </c>
      <c r="E2" s="1"/>
      <c r="F2" s="5"/>
      <c r="G2" s="64" t="s">
        <v>3</v>
      </c>
      <c r="H2" s="65"/>
      <c r="I2" s="65"/>
      <c r="J2" s="65"/>
      <c r="K2" s="65"/>
      <c r="L2" s="65"/>
      <c r="M2" s="65"/>
      <c r="N2" s="66"/>
    </row>
    <row r="3" spans="2:15" ht="14.25" customHeight="1" x14ac:dyDescent="0.2">
      <c r="B3" s="6" t="s">
        <v>4</v>
      </c>
      <c r="C3" s="7" t="s">
        <v>1</v>
      </c>
      <c r="D3" s="8" t="s">
        <v>2</v>
      </c>
      <c r="E3" s="1"/>
      <c r="F3" s="1"/>
      <c r="G3" s="61" t="s">
        <v>5</v>
      </c>
      <c r="H3" s="62"/>
      <c r="I3" s="62"/>
      <c r="J3" s="62"/>
      <c r="K3" s="62"/>
      <c r="L3" s="62"/>
      <c r="M3" s="62"/>
      <c r="N3" s="63"/>
    </row>
    <row r="4" spans="2:15" ht="14.25" customHeight="1" x14ac:dyDescent="0.2">
      <c r="B4" s="9" t="s">
        <v>6</v>
      </c>
      <c r="C4" s="10" t="s">
        <v>1</v>
      </c>
      <c r="D4" s="11" t="s">
        <v>7</v>
      </c>
      <c r="E4" s="1"/>
      <c r="F4" s="12" t="s">
        <v>8</v>
      </c>
      <c r="G4" s="13">
        <v>0</v>
      </c>
      <c r="H4" s="14">
        <v>2</v>
      </c>
      <c r="I4" s="14">
        <v>18</v>
      </c>
      <c r="J4" s="14">
        <v>24</v>
      </c>
      <c r="K4" s="14">
        <v>48</v>
      </c>
      <c r="L4" s="14">
        <v>72</v>
      </c>
      <c r="M4" s="14" t="s">
        <v>9</v>
      </c>
      <c r="N4" s="15" t="s">
        <v>9</v>
      </c>
    </row>
    <row r="5" spans="2:15" ht="14.25" customHeight="1" x14ac:dyDescent="0.2">
      <c r="B5" s="16"/>
      <c r="C5" s="1"/>
      <c r="D5" s="1"/>
      <c r="E5" s="1"/>
      <c r="F5" s="17">
        <v>1</v>
      </c>
      <c r="G5" s="18">
        <v>0</v>
      </c>
      <c r="I5" s="19"/>
      <c r="J5" s="19"/>
      <c r="K5" s="19"/>
      <c r="L5" s="20"/>
      <c r="M5" s="20"/>
      <c r="N5" s="21"/>
      <c r="O5" s="22"/>
    </row>
    <row r="6" spans="2:15" ht="14.25" customHeight="1" x14ac:dyDescent="0.2">
      <c r="B6" s="2" t="s">
        <v>10</v>
      </c>
      <c r="C6" s="23" t="s">
        <v>1</v>
      </c>
      <c r="D6" s="4" t="s">
        <v>11</v>
      </c>
      <c r="E6" s="1"/>
      <c r="F6" s="24">
        <v>2</v>
      </c>
      <c r="G6" s="18">
        <v>0</v>
      </c>
      <c r="H6" s="25"/>
      <c r="I6" s="25"/>
      <c r="J6" s="25"/>
      <c r="K6" s="1"/>
      <c r="L6" s="1"/>
      <c r="M6" s="1"/>
      <c r="N6" s="26"/>
      <c r="O6" s="22"/>
    </row>
    <row r="7" spans="2:15" ht="14.25" customHeight="1" x14ac:dyDescent="0.2">
      <c r="B7" s="6" t="s">
        <v>12</v>
      </c>
      <c r="C7" s="27" t="s">
        <v>1</v>
      </c>
      <c r="D7" s="8" t="s">
        <v>13</v>
      </c>
      <c r="E7" s="1"/>
      <c r="F7" s="24">
        <v>3</v>
      </c>
      <c r="G7" s="18">
        <v>0</v>
      </c>
      <c r="H7" s="1"/>
      <c r="I7" s="1"/>
      <c r="J7" s="1"/>
      <c r="K7" s="1"/>
      <c r="L7" s="1"/>
      <c r="M7" s="1"/>
      <c r="N7" s="26"/>
      <c r="O7" s="22"/>
    </row>
    <row r="8" spans="2:15" ht="14.25" customHeight="1" x14ac:dyDescent="0.2">
      <c r="B8" s="6" t="s">
        <v>14</v>
      </c>
      <c r="C8" s="28">
        <v>5</v>
      </c>
      <c r="D8" s="8" t="s">
        <v>15</v>
      </c>
      <c r="E8" s="1"/>
      <c r="F8" s="24">
        <v>4</v>
      </c>
      <c r="G8" s="18">
        <v>0</v>
      </c>
      <c r="H8" s="1"/>
      <c r="I8" s="1"/>
      <c r="J8" s="1"/>
      <c r="K8" s="1"/>
      <c r="L8" s="1"/>
      <c r="M8" s="1"/>
      <c r="N8" s="26"/>
      <c r="O8" s="22"/>
    </row>
    <row r="9" spans="2:15" ht="14.25" customHeight="1" x14ac:dyDescent="0.2">
      <c r="B9" s="6" t="s">
        <v>16</v>
      </c>
      <c r="C9" s="27" t="s">
        <v>1</v>
      </c>
      <c r="D9" s="8" t="s">
        <v>17</v>
      </c>
      <c r="E9" s="1"/>
      <c r="F9" s="29">
        <v>5</v>
      </c>
      <c r="G9" s="18">
        <v>0</v>
      </c>
      <c r="H9" s="30"/>
      <c r="I9" s="30"/>
      <c r="J9" s="30"/>
      <c r="K9" s="30"/>
      <c r="L9" s="30"/>
      <c r="M9" s="30"/>
      <c r="N9" s="31"/>
    </row>
    <row r="10" spans="2:15" ht="14.25" customHeight="1" x14ac:dyDescent="0.2">
      <c r="B10" s="6" t="s">
        <v>18</v>
      </c>
      <c r="C10" s="27" t="s">
        <v>1</v>
      </c>
      <c r="D10" s="8" t="s">
        <v>19</v>
      </c>
      <c r="E10" s="1"/>
      <c r="F10" s="32" t="s">
        <v>20</v>
      </c>
      <c r="G10" s="33">
        <f t="shared" ref="G10:N10" si="0">AVERAGE(G5:G9)</f>
        <v>0</v>
      </c>
      <c r="H10" s="34" t="e">
        <f t="shared" si="0"/>
        <v>#DIV/0!</v>
      </c>
      <c r="I10" s="34" t="e">
        <f t="shared" si="0"/>
        <v>#DIV/0!</v>
      </c>
      <c r="J10" s="34" t="e">
        <f t="shared" si="0"/>
        <v>#DIV/0!</v>
      </c>
      <c r="K10" s="34" t="e">
        <f t="shared" si="0"/>
        <v>#DIV/0!</v>
      </c>
      <c r="L10" s="34" t="e">
        <f t="shared" si="0"/>
        <v>#DIV/0!</v>
      </c>
      <c r="M10" s="34" t="e">
        <f t="shared" si="0"/>
        <v>#DIV/0!</v>
      </c>
      <c r="N10" s="35" t="e">
        <f t="shared" si="0"/>
        <v>#DIV/0!</v>
      </c>
    </row>
    <row r="11" spans="2:15" ht="14.25" customHeight="1" x14ac:dyDescent="0.2">
      <c r="B11" s="9" t="s">
        <v>21</v>
      </c>
      <c r="C11" s="10" t="s">
        <v>1</v>
      </c>
      <c r="D11" s="11" t="s">
        <v>22</v>
      </c>
      <c r="E11" s="1"/>
      <c r="F11" s="36" t="s">
        <v>23</v>
      </c>
      <c r="G11" s="37">
        <f t="shared" ref="G11:N11" si="1">_xlfn.STDEV.S(G5:G9)</f>
        <v>0</v>
      </c>
      <c r="H11" s="37" t="e">
        <f t="shared" si="1"/>
        <v>#DIV/0!</v>
      </c>
      <c r="I11" s="37" t="e">
        <f t="shared" si="1"/>
        <v>#DIV/0!</v>
      </c>
      <c r="J11" s="37" t="e">
        <f t="shared" si="1"/>
        <v>#DIV/0!</v>
      </c>
      <c r="K11" s="37" t="e">
        <f t="shared" si="1"/>
        <v>#DIV/0!</v>
      </c>
      <c r="L11" s="37" t="e">
        <f t="shared" si="1"/>
        <v>#DIV/0!</v>
      </c>
      <c r="M11" s="37" t="e">
        <f t="shared" si="1"/>
        <v>#DIV/0!</v>
      </c>
      <c r="N11" s="37" t="e">
        <f t="shared" si="1"/>
        <v>#DIV/0!</v>
      </c>
    </row>
    <row r="12" spans="2:15" ht="14.25" customHeight="1" x14ac:dyDescent="0.2">
      <c r="D12" s="1"/>
      <c r="E12" s="1"/>
    </row>
    <row r="13" spans="2:15" ht="14.25" customHeight="1" x14ac:dyDescent="0.2">
      <c r="B13" s="38" t="s">
        <v>24</v>
      </c>
      <c r="C13" s="39" t="s">
        <v>25</v>
      </c>
      <c r="D13" s="1"/>
      <c r="E13" s="1"/>
      <c r="F13" s="5"/>
      <c r="G13" s="67" t="s">
        <v>26</v>
      </c>
      <c r="H13" s="65"/>
      <c r="I13" s="65"/>
      <c r="J13" s="65"/>
      <c r="K13" s="65"/>
      <c r="L13" s="65"/>
      <c r="M13" s="65"/>
      <c r="N13" s="66"/>
    </row>
    <row r="14" spans="2:15" ht="14.25" customHeight="1" x14ac:dyDescent="0.2">
      <c r="B14" s="40">
        <v>1</v>
      </c>
      <c r="C14" s="41" t="s">
        <v>1</v>
      </c>
      <c r="D14" s="1"/>
      <c r="E14" s="1"/>
      <c r="F14" s="42"/>
      <c r="G14" s="61" t="s">
        <v>5</v>
      </c>
      <c r="H14" s="62"/>
      <c r="I14" s="62"/>
      <c r="J14" s="62"/>
      <c r="K14" s="62"/>
      <c r="L14" s="62"/>
      <c r="M14" s="62"/>
      <c r="N14" s="63"/>
    </row>
    <row r="15" spans="2:15" ht="14.25" customHeight="1" x14ac:dyDescent="0.2">
      <c r="B15" s="43">
        <v>2</v>
      </c>
      <c r="C15" s="44" t="s">
        <v>1</v>
      </c>
      <c r="D15" s="1"/>
      <c r="E15" s="1"/>
      <c r="F15" s="12" t="s">
        <v>8</v>
      </c>
      <c r="G15" s="45">
        <f t="shared" ref="G15:N15" si="2">G4</f>
        <v>0</v>
      </c>
      <c r="H15" s="45">
        <f t="shared" si="2"/>
        <v>2</v>
      </c>
      <c r="I15" s="45">
        <f t="shared" si="2"/>
        <v>18</v>
      </c>
      <c r="J15" s="45">
        <f t="shared" si="2"/>
        <v>24</v>
      </c>
      <c r="K15" s="45">
        <f t="shared" si="2"/>
        <v>48</v>
      </c>
      <c r="L15" s="45">
        <f t="shared" si="2"/>
        <v>72</v>
      </c>
      <c r="M15" s="45" t="str">
        <f t="shared" si="2"/>
        <v>-</v>
      </c>
      <c r="N15" s="45" t="str">
        <f t="shared" si="2"/>
        <v>-</v>
      </c>
    </row>
    <row r="16" spans="2:15" ht="14.25" customHeight="1" x14ac:dyDescent="0.2">
      <c r="B16" s="43">
        <v>3</v>
      </c>
      <c r="C16" s="44" t="s">
        <v>1</v>
      </c>
      <c r="F16" s="17">
        <f t="shared" ref="F16:F20" si="3">F5</f>
        <v>1</v>
      </c>
      <c r="G16" s="46">
        <v>0</v>
      </c>
      <c r="H16" s="20">
        <f>I5*$C$8/1000</f>
        <v>0</v>
      </c>
      <c r="I16" s="1">
        <f t="shared" ref="I16:N16" si="4">I5*$C$8/1000</f>
        <v>0</v>
      </c>
      <c r="J16" s="20">
        <f t="shared" si="4"/>
        <v>0</v>
      </c>
      <c r="K16" s="20">
        <f t="shared" si="4"/>
        <v>0</v>
      </c>
      <c r="L16" s="20">
        <f t="shared" si="4"/>
        <v>0</v>
      </c>
      <c r="M16" s="20">
        <f t="shared" si="4"/>
        <v>0</v>
      </c>
      <c r="N16" s="21">
        <f t="shared" si="4"/>
        <v>0</v>
      </c>
    </row>
    <row r="17" spans="2:14" ht="14.25" customHeight="1" x14ac:dyDescent="0.2">
      <c r="B17" s="43">
        <v>4</v>
      </c>
      <c r="C17" s="44" t="s">
        <v>1</v>
      </c>
      <c r="F17" s="17">
        <f t="shared" si="3"/>
        <v>2</v>
      </c>
      <c r="G17" s="47">
        <v>0</v>
      </c>
      <c r="H17" s="1">
        <f t="shared" ref="H17:N17" si="5">H6*$C$8/1000</f>
        <v>0</v>
      </c>
      <c r="I17" s="1">
        <f t="shared" si="5"/>
        <v>0</v>
      </c>
      <c r="J17" s="1">
        <f t="shared" si="5"/>
        <v>0</v>
      </c>
      <c r="K17" s="1">
        <f t="shared" si="5"/>
        <v>0</v>
      </c>
      <c r="L17" s="1">
        <f t="shared" si="5"/>
        <v>0</v>
      </c>
      <c r="M17" s="1">
        <f t="shared" si="5"/>
        <v>0</v>
      </c>
      <c r="N17" s="26">
        <f t="shared" si="5"/>
        <v>0</v>
      </c>
    </row>
    <row r="18" spans="2:14" ht="14.25" customHeight="1" x14ac:dyDescent="0.2">
      <c r="B18" s="48">
        <v>5</v>
      </c>
      <c r="C18" s="49" t="s">
        <v>1</v>
      </c>
      <c r="F18" s="17">
        <f t="shared" si="3"/>
        <v>3</v>
      </c>
      <c r="G18" s="47">
        <v>0</v>
      </c>
      <c r="H18" s="1">
        <f t="shared" ref="H18:N18" si="6">H7*$C$8/1000</f>
        <v>0</v>
      </c>
      <c r="I18" s="1">
        <f t="shared" si="6"/>
        <v>0</v>
      </c>
      <c r="J18" s="1">
        <f t="shared" si="6"/>
        <v>0</v>
      </c>
      <c r="K18" s="1">
        <f t="shared" si="6"/>
        <v>0</v>
      </c>
      <c r="L18" s="1">
        <f t="shared" si="6"/>
        <v>0</v>
      </c>
      <c r="M18" s="1">
        <f t="shared" si="6"/>
        <v>0</v>
      </c>
      <c r="N18" s="26">
        <f t="shared" si="6"/>
        <v>0</v>
      </c>
    </row>
    <row r="19" spans="2:14" ht="14.25" customHeight="1" x14ac:dyDescent="0.2">
      <c r="F19" s="17">
        <f t="shared" si="3"/>
        <v>4</v>
      </c>
      <c r="G19" s="47">
        <v>0</v>
      </c>
      <c r="H19" s="1">
        <f t="shared" ref="H19:N19" si="7">H8*$C$8/1000</f>
        <v>0</v>
      </c>
      <c r="I19" s="1">
        <f t="shared" si="7"/>
        <v>0</v>
      </c>
      <c r="J19" s="1">
        <f t="shared" si="7"/>
        <v>0</v>
      </c>
      <c r="K19" s="1">
        <f t="shared" si="7"/>
        <v>0</v>
      </c>
      <c r="L19" s="1">
        <f t="shared" si="7"/>
        <v>0</v>
      </c>
      <c r="M19" s="1">
        <f t="shared" si="7"/>
        <v>0</v>
      </c>
      <c r="N19" s="26">
        <f t="shared" si="7"/>
        <v>0</v>
      </c>
    </row>
    <row r="20" spans="2:14" ht="14.25" customHeight="1" x14ac:dyDescent="0.2">
      <c r="F20" s="17">
        <f t="shared" si="3"/>
        <v>5</v>
      </c>
      <c r="G20" s="50">
        <v>0</v>
      </c>
      <c r="H20" s="30">
        <f t="shared" ref="H20:N20" si="8">H9*$C$8/1000</f>
        <v>0</v>
      </c>
      <c r="I20" s="30">
        <f t="shared" si="8"/>
        <v>0</v>
      </c>
      <c r="J20" s="30">
        <f t="shared" si="8"/>
        <v>0</v>
      </c>
      <c r="K20" s="30">
        <f t="shared" si="8"/>
        <v>0</v>
      </c>
      <c r="L20" s="30">
        <f t="shared" si="8"/>
        <v>0</v>
      </c>
      <c r="M20" s="30">
        <f t="shared" si="8"/>
        <v>0</v>
      </c>
      <c r="N20" s="31">
        <f t="shared" si="8"/>
        <v>0</v>
      </c>
    </row>
    <row r="21" spans="2:14" ht="14.25" customHeight="1" x14ac:dyDescent="0.2">
      <c r="F21" s="32" t="s">
        <v>20</v>
      </c>
      <c r="G21" s="33">
        <f t="shared" ref="G21:N21" si="9">AVERAGE(G16:G20)</f>
        <v>0</v>
      </c>
      <c r="H21" s="34">
        <f t="shared" si="9"/>
        <v>0</v>
      </c>
      <c r="I21" s="34">
        <f t="shared" si="9"/>
        <v>0</v>
      </c>
      <c r="J21" s="34">
        <f t="shared" si="9"/>
        <v>0</v>
      </c>
      <c r="K21" s="34">
        <f t="shared" si="9"/>
        <v>0</v>
      </c>
      <c r="L21" s="34">
        <f t="shared" si="9"/>
        <v>0</v>
      </c>
      <c r="M21" s="34">
        <f t="shared" si="9"/>
        <v>0</v>
      </c>
      <c r="N21" s="35">
        <f t="shared" si="9"/>
        <v>0</v>
      </c>
    </row>
    <row r="22" spans="2:14" ht="14.25" customHeight="1" x14ac:dyDescent="0.2">
      <c r="F22" s="36" t="s">
        <v>23</v>
      </c>
      <c r="G22" s="37">
        <f t="shared" ref="G22:N22" si="10">_xlfn.STDEV.S(G16:G20)</f>
        <v>0</v>
      </c>
      <c r="H22" s="37">
        <f t="shared" si="10"/>
        <v>0</v>
      </c>
      <c r="I22" s="37">
        <f t="shared" si="10"/>
        <v>0</v>
      </c>
      <c r="J22" s="37">
        <f t="shared" si="10"/>
        <v>0</v>
      </c>
      <c r="K22" s="37">
        <f t="shared" si="10"/>
        <v>0</v>
      </c>
      <c r="L22" s="37">
        <f t="shared" si="10"/>
        <v>0</v>
      </c>
      <c r="M22" s="37">
        <f t="shared" si="10"/>
        <v>0</v>
      </c>
      <c r="N22" s="37">
        <f t="shared" si="10"/>
        <v>0</v>
      </c>
    </row>
    <row r="23" spans="2:14" ht="14.25" customHeight="1" x14ac:dyDescent="0.15"/>
    <row r="24" spans="2:14" ht="14.25" customHeight="1" x14ac:dyDescent="0.2">
      <c r="F24" s="5"/>
      <c r="G24" s="68" t="s">
        <v>27</v>
      </c>
      <c r="H24" s="65"/>
      <c r="I24" s="65"/>
      <c r="J24" s="65"/>
      <c r="K24" s="65"/>
      <c r="L24" s="65"/>
      <c r="M24" s="65"/>
      <c r="N24" s="66"/>
    </row>
    <row r="25" spans="2:14" ht="14.25" customHeight="1" x14ac:dyDescent="0.2">
      <c r="F25" s="42"/>
      <c r="G25" s="61" t="s">
        <v>5</v>
      </c>
      <c r="H25" s="62"/>
      <c r="I25" s="62"/>
      <c r="J25" s="62"/>
      <c r="K25" s="62"/>
      <c r="L25" s="62"/>
      <c r="M25" s="62"/>
      <c r="N25" s="63"/>
    </row>
    <row r="26" spans="2:14" ht="14.25" customHeight="1" x14ac:dyDescent="0.2">
      <c r="F26" s="12" t="s">
        <v>8</v>
      </c>
      <c r="G26" s="13">
        <f t="shared" ref="G26:N26" si="11">G4</f>
        <v>0</v>
      </c>
      <c r="H26" s="13">
        <f t="shared" si="11"/>
        <v>2</v>
      </c>
      <c r="I26" s="13">
        <f t="shared" si="11"/>
        <v>18</v>
      </c>
      <c r="J26" s="13">
        <f t="shared" si="11"/>
        <v>24</v>
      </c>
      <c r="K26" s="13">
        <f t="shared" si="11"/>
        <v>48</v>
      </c>
      <c r="L26" s="13">
        <f t="shared" si="11"/>
        <v>72</v>
      </c>
      <c r="M26" s="13" t="str">
        <f t="shared" si="11"/>
        <v>-</v>
      </c>
      <c r="N26" s="13" t="str">
        <f t="shared" si="11"/>
        <v>-</v>
      </c>
    </row>
    <row r="27" spans="2:14" ht="14.25" customHeight="1" x14ac:dyDescent="0.2">
      <c r="F27" s="17">
        <f t="shared" ref="F27:F31" si="12">F5</f>
        <v>1</v>
      </c>
      <c r="G27" s="51">
        <v>0</v>
      </c>
      <c r="H27" s="52" t="e">
        <f t="shared" ref="H27:N27" si="13">H16/$C14/1000</f>
        <v>#VALUE!</v>
      </c>
      <c r="I27" s="52" t="e">
        <f t="shared" si="13"/>
        <v>#VALUE!</v>
      </c>
      <c r="J27" s="52" t="e">
        <f t="shared" si="13"/>
        <v>#VALUE!</v>
      </c>
      <c r="K27" s="52" t="e">
        <f t="shared" si="13"/>
        <v>#VALUE!</v>
      </c>
      <c r="L27" s="52" t="e">
        <f t="shared" si="13"/>
        <v>#VALUE!</v>
      </c>
      <c r="M27" s="52" t="e">
        <f t="shared" si="13"/>
        <v>#VALUE!</v>
      </c>
      <c r="N27" s="53" t="e">
        <f t="shared" si="13"/>
        <v>#VALUE!</v>
      </c>
    </row>
    <row r="28" spans="2:14" ht="14.25" customHeight="1" x14ac:dyDescent="0.2">
      <c r="F28" s="17">
        <f t="shared" si="12"/>
        <v>2</v>
      </c>
      <c r="G28" s="54">
        <v>0</v>
      </c>
      <c r="H28" s="55" t="e">
        <f t="shared" ref="H28:N28" si="14">H17/$C15/1000</f>
        <v>#VALUE!</v>
      </c>
      <c r="I28" s="55" t="e">
        <f t="shared" si="14"/>
        <v>#VALUE!</v>
      </c>
      <c r="J28" s="55" t="e">
        <f t="shared" si="14"/>
        <v>#VALUE!</v>
      </c>
      <c r="K28" s="55" t="e">
        <f t="shared" si="14"/>
        <v>#VALUE!</v>
      </c>
      <c r="L28" s="55" t="e">
        <f t="shared" si="14"/>
        <v>#VALUE!</v>
      </c>
      <c r="M28" s="55" t="e">
        <f t="shared" si="14"/>
        <v>#VALUE!</v>
      </c>
      <c r="N28" s="56" t="e">
        <f t="shared" si="14"/>
        <v>#VALUE!</v>
      </c>
    </row>
    <row r="29" spans="2:14" ht="14.25" customHeight="1" x14ac:dyDescent="0.2">
      <c r="F29" s="17">
        <f t="shared" si="12"/>
        <v>3</v>
      </c>
      <c r="G29" s="54">
        <v>0</v>
      </c>
      <c r="H29" s="55" t="e">
        <f t="shared" ref="H29:N29" si="15">H18/$C16/1000</f>
        <v>#VALUE!</v>
      </c>
      <c r="I29" s="55" t="e">
        <f t="shared" si="15"/>
        <v>#VALUE!</v>
      </c>
      <c r="J29" s="55" t="e">
        <f t="shared" si="15"/>
        <v>#VALUE!</v>
      </c>
      <c r="K29" s="55" t="e">
        <f t="shared" si="15"/>
        <v>#VALUE!</v>
      </c>
      <c r="L29" s="55" t="e">
        <f t="shared" si="15"/>
        <v>#VALUE!</v>
      </c>
      <c r="M29" s="55" t="e">
        <f t="shared" si="15"/>
        <v>#VALUE!</v>
      </c>
      <c r="N29" s="56" t="e">
        <f t="shared" si="15"/>
        <v>#VALUE!</v>
      </c>
    </row>
    <row r="30" spans="2:14" ht="14.25" customHeight="1" x14ac:dyDescent="0.2">
      <c r="F30" s="17">
        <f t="shared" si="12"/>
        <v>4</v>
      </c>
      <c r="G30" s="54">
        <v>0</v>
      </c>
      <c r="H30" s="55" t="e">
        <f t="shared" ref="H30:N30" si="16">H19/$C17/1000</f>
        <v>#VALUE!</v>
      </c>
      <c r="I30" s="55" t="e">
        <f t="shared" si="16"/>
        <v>#VALUE!</v>
      </c>
      <c r="J30" s="55" t="e">
        <f t="shared" si="16"/>
        <v>#VALUE!</v>
      </c>
      <c r="K30" s="55" t="e">
        <f t="shared" si="16"/>
        <v>#VALUE!</v>
      </c>
      <c r="L30" s="55" t="e">
        <f t="shared" si="16"/>
        <v>#VALUE!</v>
      </c>
      <c r="M30" s="55" t="e">
        <f t="shared" si="16"/>
        <v>#VALUE!</v>
      </c>
      <c r="N30" s="56" t="e">
        <f t="shared" si="16"/>
        <v>#VALUE!</v>
      </c>
    </row>
    <row r="31" spans="2:14" ht="14.25" customHeight="1" x14ac:dyDescent="0.2">
      <c r="F31" s="17">
        <f t="shared" si="12"/>
        <v>5</v>
      </c>
      <c r="G31" s="57">
        <v>0</v>
      </c>
      <c r="H31" s="58" t="e">
        <f t="shared" ref="H31:N31" si="17">H20/$C18/1000</f>
        <v>#VALUE!</v>
      </c>
      <c r="I31" s="58" t="e">
        <f t="shared" si="17"/>
        <v>#VALUE!</v>
      </c>
      <c r="J31" s="58" t="e">
        <f t="shared" si="17"/>
        <v>#VALUE!</v>
      </c>
      <c r="K31" s="58" t="e">
        <f t="shared" si="17"/>
        <v>#VALUE!</v>
      </c>
      <c r="L31" s="58" t="e">
        <f t="shared" si="17"/>
        <v>#VALUE!</v>
      </c>
      <c r="M31" s="58" t="e">
        <f t="shared" si="17"/>
        <v>#VALUE!</v>
      </c>
      <c r="N31" s="58" t="e">
        <f t="shared" si="17"/>
        <v>#VALUE!</v>
      </c>
    </row>
    <row r="32" spans="2:14" ht="14.25" customHeight="1" x14ac:dyDescent="0.2">
      <c r="F32" s="32" t="s">
        <v>20</v>
      </c>
      <c r="G32" s="59">
        <f t="shared" ref="G32:N32" si="18">AVERAGE(G27:G31)</f>
        <v>0</v>
      </c>
      <c r="H32" s="60" t="e">
        <f t="shared" si="18"/>
        <v>#VALUE!</v>
      </c>
      <c r="I32" s="60" t="e">
        <f t="shared" si="18"/>
        <v>#VALUE!</v>
      </c>
      <c r="J32" s="60" t="e">
        <f t="shared" si="18"/>
        <v>#VALUE!</v>
      </c>
      <c r="K32" s="60" t="e">
        <f t="shared" si="18"/>
        <v>#VALUE!</v>
      </c>
      <c r="L32" s="60" t="e">
        <f t="shared" si="18"/>
        <v>#VALUE!</v>
      </c>
      <c r="M32" s="60" t="e">
        <f t="shared" si="18"/>
        <v>#VALUE!</v>
      </c>
      <c r="N32" s="60" t="e">
        <f t="shared" si="18"/>
        <v>#VALUE!</v>
      </c>
    </row>
    <row r="33" spans="6:14" ht="14.25" customHeight="1" x14ac:dyDescent="0.2">
      <c r="F33" s="36" t="s">
        <v>23</v>
      </c>
      <c r="G33" s="37">
        <f t="shared" ref="G33:N33" si="19">_xlfn.STDEV.S(G27:G31)</f>
        <v>0</v>
      </c>
      <c r="H33" s="37" t="e">
        <f t="shared" si="19"/>
        <v>#VALUE!</v>
      </c>
      <c r="I33" s="37" t="e">
        <f t="shared" si="19"/>
        <v>#VALUE!</v>
      </c>
      <c r="J33" s="37" t="e">
        <f t="shared" si="19"/>
        <v>#VALUE!</v>
      </c>
      <c r="K33" s="37" t="e">
        <f t="shared" si="19"/>
        <v>#VALUE!</v>
      </c>
      <c r="L33" s="37" t="e">
        <f t="shared" si="19"/>
        <v>#VALUE!</v>
      </c>
      <c r="M33" s="37" t="e">
        <f t="shared" si="19"/>
        <v>#VALUE!</v>
      </c>
      <c r="N33" s="37" t="e">
        <f t="shared" si="19"/>
        <v>#VALUE!</v>
      </c>
    </row>
    <row r="34" spans="6:14" ht="14.25" customHeight="1" x14ac:dyDescent="0.15"/>
    <row r="35" spans="6:14" ht="14.25" customHeight="1" x14ac:dyDescent="0.15"/>
    <row r="36" spans="6:14" ht="14.25" customHeight="1" x14ac:dyDescent="0.15"/>
    <row r="37" spans="6:14" ht="14.25" customHeight="1" x14ac:dyDescent="0.15"/>
    <row r="38" spans="6:14" ht="14.25" customHeight="1" x14ac:dyDescent="0.15"/>
    <row r="39" spans="6:14" ht="14.25" customHeight="1" x14ac:dyDescent="0.15"/>
    <row r="40" spans="6:14" ht="14.25" customHeight="1" x14ac:dyDescent="0.15"/>
    <row r="41" spans="6:14" ht="14.25" customHeight="1" x14ac:dyDescent="0.15"/>
    <row r="42" spans="6:14" ht="14.25" customHeight="1" x14ac:dyDescent="0.15"/>
    <row r="43" spans="6:14" ht="14.25" customHeight="1" x14ac:dyDescent="0.15"/>
    <row r="44" spans="6:14" ht="14.25" customHeight="1" x14ac:dyDescent="0.15"/>
    <row r="45" spans="6:14" ht="14.25" customHeight="1" x14ac:dyDescent="0.15"/>
    <row r="46" spans="6:14" ht="14.25" customHeight="1" x14ac:dyDescent="0.15"/>
    <row r="47" spans="6:14" ht="14.25" customHeight="1" x14ac:dyDescent="0.15"/>
    <row r="48" spans="6:14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</sheetData>
  <mergeCells count="6">
    <mergeCell ref="G25:N25"/>
    <mergeCell ref="G2:N2"/>
    <mergeCell ref="G3:N3"/>
    <mergeCell ref="G13:N13"/>
    <mergeCell ref="G14:N14"/>
    <mergeCell ref="G24:N24"/>
  </mergeCells>
  <pageMargins left="0.69930555555555596" right="0.69930555555555596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00"/>
  <sheetViews>
    <sheetView workbookViewId="0">
      <selection activeCell="B38" sqref="B38"/>
    </sheetView>
  </sheetViews>
  <sheetFormatPr baseColWidth="10" defaultColWidth="12.6640625" defaultRowHeight="15" customHeight="1" x14ac:dyDescent="0.15"/>
  <cols>
    <col min="1" max="1" width="7.83203125" customWidth="1"/>
    <col min="2" max="2" width="14.83203125" customWidth="1"/>
    <col min="3" max="3" width="15" customWidth="1"/>
    <col min="4" max="4" width="11.6640625" customWidth="1"/>
    <col min="5" max="5" width="7.83203125" customWidth="1"/>
    <col min="6" max="14" width="5.6640625" customWidth="1"/>
    <col min="15" max="26" width="7.83203125" customWidth="1"/>
  </cols>
  <sheetData>
    <row r="1" spans="2:15" ht="14.25" customHeight="1" thickBot="1" x14ac:dyDescent="0.25">
      <c r="B1" s="1"/>
      <c r="C1" s="1"/>
      <c r="D1" s="1"/>
      <c r="E1" s="1"/>
    </row>
    <row r="2" spans="2:15" ht="14.25" customHeight="1" x14ac:dyDescent="0.2">
      <c r="B2" s="2" t="s">
        <v>0</v>
      </c>
      <c r="C2" s="3" t="s">
        <v>1</v>
      </c>
      <c r="D2" s="4" t="s">
        <v>2</v>
      </c>
      <c r="E2" s="1"/>
      <c r="F2" s="5"/>
      <c r="G2" s="64" t="s">
        <v>3</v>
      </c>
      <c r="H2" s="65"/>
      <c r="I2" s="65"/>
      <c r="J2" s="65"/>
      <c r="K2" s="65"/>
      <c r="L2" s="65"/>
      <c r="M2" s="65"/>
      <c r="N2" s="66"/>
    </row>
    <row r="3" spans="2:15" ht="14.25" customHeight="1" thickBot="1" x14ac:dyDescent="0.25">
      <c r="B3" s="6" t="s">
        <v>4</v>
      </c>
      <c r="C3" s="7" t="s">
        <v>1</v>
      </c>
      <c r="D3" s="8" t="s">
        <v>2</v>
      </c>
      <c r="E3" s="1"/>
      <c r="F3" s="1"/>
      <c r="G3" s="61" t="s">
        <v>5</v>
      </c>
      <c r="H3" s="62"/>
      <c r="I3" s="62"/>
      <c r="J3" s="62"/>
      <c r="K3" s="62"/>
      <c r="L3" s="62"/>
      <c r="M3" s="62"/>
      <c r="N3" s="63"/>
    </row>
    <row r="4" spans="2:15" ht="14.25" customHeight="1" thickBot="1" x14ac:dyDescent="0.25">
      <c r="B4" s="9" t="s">
        <v>6</v>
      </c>
      <c r="C4" s="10" t="s">
        <v>1</v>
      </c>
      <c r="D4" s="11" t="s">
        <v>7</v>
      </c>
      <c r="E4" s="1"/>
      <c r="F4" s="12" t="s">
        <v>8</v>
      </c>
      <c r="G4" s="13">
        <v>0</v>
      </c>
      <c r="H4" s="14">
        <v>2</v>
      </c>
      <c r="I4" s="14">
        <v>18</v>
      </c>
      <c r="J4" s="14">
        <v>24</v>
      </c>
      <c r="K4" s="14">
        <v>48</v>
      </c>
      <c r="L4" s="14">
        <v>72</v>
      </c>
      <c r="M4" s="14" t="s">
        <v>9</v>
      </c>
      <c r="N4" s="15" t="s">
        <v>9</v>
      </c>
    </row>
    <row r="5" spans="2:15" ht="14.25" customHeight="1" thickBot="1" x14ac:dyDescent="0.25">
      <c r="B5" s="16"/>
      <c r="C5" s="1"/>
      <c r="D5" s="1"/>
      <c r="E5" s="1"/>
      <c r="F5" s="17">
        <v>1</v>
      </c>
      <c r="G5" s="18">
        <v>0</v>
      </c>
      <c r="I5" s="19"/>
      <c r="J5" s="19"/>
      <c r="K5" s="19"/>
      <c r="L5" s="20"/>
      <c r="M5" s="20"/>
      <c r="N5" s="21"/>
      <c r="O5" s="22"/>
    </row>
    <row r="6" spans="2:15" ht="14.25" customHeight="1" thickBot="1" x14ac:dyDescent="0.25">
      <c r="B6" s="2" t="s">
        <v>10</v>
      </c>
      <c r="C6" s="23" t="s">
        <v>1</v>
      </c>
      <c r="D6" s="4" t="s">
        <v>11</v>
      </c>
      <c r="E6" s="1"/>
      <c r="F6" s="24">
        <v>2</v>
      </c>
      <c r="G6" s="18">
        <v>0</v>
      </c>
      <c r="H6" s="25"/>
      <c r="I6" s="25"/>
      <c r="J6" s="25"/>
      <c r="K6" s="1"/>
      <c r="L6" s="1"/>
      <c r="M6" s="1"/>
      <c r="N6" s="26"/>
      <c r="O6" s="22"/>
    </row>
    <row r="7" spans="2:15" ht="14.25" customHeight="1" thickBot="1" x14ac:dyDescent="0.25">
      <c r="B7" s="6" t="s">
        <v>12</v>
      </c>
      <c r="C7" s="27" t="s">
        <v>1</v>
      </c>
      <c r="D7" s="8" t="s">
        <v>13</v>
      </c>
      <c r="E7" s="1"/>
      <c r="F7" s="24">
        <v>3</v>
      </c>
      <c r="G7" s="18">
        <v>0</v>
      </c>
      <c r="H7" s="1"/>
      <c r="I7" s="1"/>
      <c r="J7" s="1"/>
      <c r="K7" s="1"/>
      <c r="L7" s="1"/>
      <c r="M7" s="1"/>
      <c r="N7" s="26"/>
      <c r="O7" s="22"/>
    </row>
    <row r="8" spans="2:15" ht="14.25" customHeight="1" thickBot="1" x14ac:dyDescent="0.25">
      <c r="B8" s="6" t="s">
        <v>14</v>
      </c>
      <c r="C8" s="28">
        <v>5</v>
      </c>
      <c r="D8" s="8" t="s">
        <v>15</v>
      </c>
      <c r="E8" s="1"/>
      <c r="F8" s="24">
        <v>4</v>
      </c>
      <c r="G8" s="18">
        <v>0</v>
      </c>
      <c r="H8" s="1"/>
      <c r="I8" s="1"/>
      <c r="J8" s="1"/>
      <c r="K8" s="1"/>
      <c r="L8" s="1"/>
      <c r="M8" s="1"/>
      <c r="N8" s="26"/>
      <c r="O8" s="22"/>
    </row>
    <row r="9" spans="2:15" ht="14.25" customHeight="1" thickBot="1" x14ac:dyDescent="0.25">
      <c r="B9" s="6" t="s">
        <v>16</v>
      </c>
      <c r="C9" s="27" t="s">
        <v>1</v>
      </c>
      <c r="D9" s="8" t="s">
        <v>17</v>
      </c>
      <c r="E9" s="1"/>
      <c r="F9" s="29">
        <v>5</v>
      </c>
      <c r="G9" s="18">
        <v>0</v>
      </c>
      <c r="H9" s="30"/>
      <c r="I9" s="30"/>
      <c r="J9" s="30"/>
      <c r="K9" s="30"/>
      <c r="L9" s="30"/>
      <c r="M9" s="30"/>
      <c r="N9" s="31"/>
    </row>
    <row r="10" spans="2:15" ht="14.25" customHeight="1" x14ac:dyDescent="0.2">
      <c r="B10" s="6" t="s">
        <v>18</v>
      </c>
      <c r="C10" s="27" t="s">
        <v>1</v>
      </c>
      <c r="D10" s="8" t="s">
        <v>19</v>
      </c>
      <c r="E10" s="1"/>
      <c r="F10" s="32" t="s">
        <v>20</v>
      </c>
      <c r="G10" s="33">
        <f t="shared" ref="G10:N10" si="0">AVERAGE(G5:G9)</f>
        <v>0</v>
      </c>
      <c r="H10" s="34" t="e">
        <f t="shared" si="0"/>
        <v>#DIV/0!</v>
      </c>
      <c r="I10" s="34" t="e">
        <f t="shared" si="0"/>
        <v>#DIV/0!</v>
      </c>
      <c r="J10" s="34" t="e">
        <f t="shared" si="0"/>
        <v>#DIV/0!</v>
      </c>
      <c r="K10" s="34" t="e">
        <f t="shared" si="0"/>
        <v>#DIV/0!</v>
      </c>
      <c r="L10" s="34" t="e">
        <f t="shared" si="0"/>
        <v>#DIV/0!</v>
      </c>
      <c r="M10" s="34" t="e">
        <f t="shared" si="0"/>
        <v>#DIV/0!</v>
      </c>
      <c r="N10" s="35" t="e">
        <f t="shared" si="0"/>
        <v>#DIV/0!</v>
      </c>
    </row>
    <row r="11" spans="2:15" ht="14.25" customHeight="1" thickBot="1" x14ac:dyDescent="0.25">
      <c r="B11" s="9" t="s">
        <v>21</v>
      </c>
      <c r="C11" s="10" t="s">
        <v>1</v>
      </c>
      <c r="D11" s="11" t="s">
        <v>22</v>
      </c>
      <c r="E11" s="1"/>
      <c r="F11" s="36" t="s">
        <v>23</v>
      </c>
      <c r="G11" s="37">
        <f t="shared" ref="G11:N11" si="1">_xlfn.STDEV.S(G5:G9)</f>
        <v>0</v>
      </c>
      <c r="H11" s="37" t="e">
        <f t="shared" si="1"/>
        <v>#DIV/0!</v>
      </c>
      <c r="I11" s="37" t="e">
        <f t="shared" si="1"/>
        <v>#DIV/0!</v>
      </c>
      <c r="J11" s="37" t="e">
        <f t="shared" si="1"/>
        <v>#DIV/0!</v>
      </c>
      <c r="K11" s="37" t="e">
        <f t="shared" si="1"/>
        <v>#DIV/0!</v>
      </c>
      <c r="L11" s="37" t="e">
        <f t="shared" si="1"/>
        <v>#DIV/0!</v>
      </c>
      <c r="M11" s="37" t="e">
        <f t="shared" si="1"/>
        <v>#DIV/0!</v>
      </c>
      <c r="N11" s="37" t="e">
        <f t="shared" si="1"/>
        <v>#DIV/0!</v>
      </c>
    </row>
    <row r="12" spans="2:15" ht="14.25" customHeight="1" thickBot="1" x14ac:dyDescent="0.25">
      <c r="D12" s="1"/>
      <c r="E12" s="1"/>
    </row>
    <row r="13" spans="2:15" ht="14.25" customHeight="1" thickBot="1" x14ac:dyDescent="0.25">
      <c r="B13" s="38" t="s">
        <v>24</v>
      </c>
      <c r="C13" s="39" t="s">
        <v>25</v>
      </c>
      <c r="D13" s="1"/>
      <c r="E13" s="1"/>
      <c r="F13" s="5"/>
      <c r="G13" s="67" t="s">
        <v>26</v>
      </c>
      <c r="H13" s="65"/>
      <c r="I13" s="65"/>
      <c r="J13" s="65"/>
      <c r="K13" s="65"/>
      <c r="L13" s="65"/>
      <c r="M13" s="65"/>
      <c r="N13" s="66"/>
    </row>
    <row r="14" spans="2:15" ht="14.25" customHeight="1" thickBot="1" x14ac:dyDescent="0.25">
      <c r="B14" s="40">
        <v>1</v>
      </c>
      <c r="C14" s="41" t="s">
        <v>1</v>
      </c>
      <c r="D14" s="1"/>
      <c r="E14" s="1"/>
      <c r="F14" s="42"/>
      <c r="G14" s="61" t="s">
        <v>5</v>
      </c>
      <c r="H14" s="62"/>
      <c r="I14" s="62"/>
      <c r="J14" s="62"/>
      <c r="K14" s="62"/>
      <c r="L14" s="62"/>
      <c r="M14" s="62"/>
      <c r="N14" s="63"/>
    </row>
    <row r="15" spans="2:15" ht="14.25" customHeight="1" thickBot="1" x14ac:dyDescent="0.25">
      <c r="B15" s="43">
        <v>2</v>
      </c>
      <c r="C15" s="44" t="s">
        <v>1</v>
      </c>
      <c r="D15" s="1"/>
      <c r="E15" s="1"/>
      <c r="F15" s="12" t="s">
        <v>8</v>
      </c>
      <c r="G15" s="45">
        <f t="shared" ref="G15:N15" si="2">G4</f>
        <v>0</v>
      </c>
      <c r="H15" s="45">
        <f t="shared" si="2"/>
        <v>2</v>
      </c>
      <c r="I15" s="45">
        <f t="shared" si="2"/>
        <v>18</v>
      </c>
      <c r="J15" s="45">
        <f t="shared" si="2"/>
        <v>24</v>
      </c>
      <c r="K15" s="45">
        <f t="shared" si="2"/>
        <v>48</v>
      </c>
      <c r="L15" s="45">
        <f t="shared" si="2"/>
        <v>72</v>
      </c>
      <c r="M15" s="45" t="str">
        <f t="shared" si="2"/>
        <v>-</v>
      </c>
      <c r="N15" s="45" t="str">
        <f t="shared" si="2"/>
        <v>-</v>
      </c>
    </row>
    <row r="16" spans="2:15" ht="14.25" customHeight="1" thickBot="1" x14ac:dyDescent="0.25">
      <c r="B16" s="43">
        <v>3</v>
      </c>
      <c r="C16" s="44" t="s">
        <v>1</v>
      </c>
      <c r="F16" s="17">
        <f t="shared" ref="F16:F20" si="3">F5</f>
        <v>1</v>
      </c>
      <c r="G16" s="46">
        <v>0</v>
      </c>
      <c r="H16" s="20">
        <f>I5*$C$8/1000</f>
        <v>0</v>
      </c>
      <c r="I16" s="1">
        <f t="shared" ref="I16:N16" si="4">I5*$C$8/1000</f>
        <v>0</v>
      </c>
      <c r="J16" s="20">
        <f t="shared" si="4"/>
        <v>0</v>
      </c>
      <c r="K16" s="20">
        <f t="shared" si="4"/>
        <v>0</v>
      </c>
      <c r="L16" s="20">
        <f t="shared" si="4"/>
        <v>0</v>
      </c>
      <c r="M16" s="20">
        <f t="shared" si="4"/>
        <v>0</v>
      </c>
      <c r="N16" s="21">
        <f t="shared" si="4"/>
        <v>0</v>
      </c>
    </row>
    <row r="17" spans="2:14" ht="14.25" customHeight="1" thickBot="1" x14ac:dyDescent="0.25">
      <c r="B17" s="43">
        <v>4</v>
      </c>
      <c r="C17" s="44" t="s">
        <v>1</v>
      </c>
      <c r="F17" s="17">
        <f t="shared" si="3"/>
        <v>2</v>
      </c>
      <c r="G17" s="47">
        <v>0</v>
      </c>
      <c r="H17" s="1">
        <f t="shared" ref="H17:N20" si="5">H6*$C$8/1000</f>
        <v>0</v>
      </c>
      <c r="I17" s="1">
        <f t="shared" si="5"/>
        <v>0</v>
      </c>
      <c r="J17" s="1">
        <f t="shared" si="5"/>
        <v>0</v>
      </c>
      <c r="K17" s="1">
        <f t="shared" si="5"/>
        <v>0</v>
      </c>
      <c r="L17" s="1">
        <f t="shared" si="5"/>
        <v>0</v>
      </c>
      <c r="M17" s="1">
        <f t="shared" si="5"/>
        <v>0</v>
      </c>
      <c r="N17" s="26">
        <f t="shared" si="5"/>
        <v>0</v>
      </c>
    </row>
    <row r="18" spans="2:14" ht="14.25" customHeight="1" thickBot="1" x14ac:dyDescent="0.25">
      <c r="B18" s="48">
        <v>5</v>
      </c>
      <c r="C18" s="49" t="s">
        <v>1</v>
      </c>
      <c r="F18" s="17">
        <f t="shared" si="3"/>
        <v>3</v>
      </c>
      <c r="G18" s="47">
        <v>0</v>
      </c>
      <c r="H18" s="1">
        <f t="shared" si="5"/>
        <v>0</v>
      </c>
      <c r="I18" s="1">
        <f t="shared" si="5"/>
        <v>0</v>
      </c>
      <c r="J18" s="1">
        <f t="shared" si="5"/>
        <v>0</v>
      </c>
      <c r="K18" s="1">
        <f t="shared" si="5"/>
        <v>0</v>
      </c>
      <c r="L18" s="1">
        <f t="shared" si="5"/>
        <v>0</v>
      </c>
      <c r="M18" s="1">
        <f t="shared" si="5"/>
        <v>0</v>
      </c>
      <c r="N18" s="26">
        <f t="shared" si="5"/>
        <v>0</v>
      </c>
    </row>
    <row r="19" spans="2:14" ht="14.25" customHeight="1" thickBot="1" x14ac:dyDescent="0.25">
      <c r="F19" s="17">
        <f t="shared" si="3"/>
        <v>4</v>
      </c>
      <c r="G19" s="47">
        <v>0</v>
      </c>
      <c r="H19" s="1">
        <f t="shared" si="5"/>
        <v>0</v>
      </c>
      <c r="I19" s="1">
        <f t="shared" si="5"/>
        <v>0</v>
      </c>
      <c r="J19" s="1">
        <f t="shared" si="5"/>
        <v>0</v>
      </c>
      <c r="K19" s="1">
        <f t="shared" si="5"/>
        <v>0</v>
      </c>
      <c r="L19" s="1">
        <f t="shared" si="5"/>
        <v>0</v>
      </c>
      <c r="M19" s="1">
        <f t="shared" si="5"/>
        <v>0</v>
      </c>
      <c r="N19" s="26">
        <f t="shared" si="5"/>
        <v>0</v>
      </c>
    </row>
    <row r="20" spans="2:14" ht="14.25" customHeight="1" thickBot="1" x14ac:dyDescent="0.25">
      <c r="F20" s="17">
        <f t="shared" si="3"/>
        <v>5</v>
      </c>
      <c r="G20" s="50">
        <v>0</v>
      </c>
      <c r="H20" s="30">
        <f t="shared" si="5"/>
        <v>0</v>
      </c>
      <c r="I20" s="30">
        <f t="shared" si="5"/>
        <v>0</v>
      </c>
      <c r="J20" s="30">
        <f t="shared" si="5"/>
        <v>0</v>
      </c>
      <c r="K20" s="30">
        <f t="shared" si="5"/>
        <v>0</v>
      </c>
      <c r="L20" s="30">
        <f t="shared" si="5"/>
        <v>0</v>
      </c>
      <c r="M20" s="30">
        <f t="shared" si="5"/>
        <v>0</v>
      </c>
      <c r="N20" s="31">
        <f t="shared" si="5"/>
        <v>0</v>
      </c>
    </row>
    <row r="21" spans="2:14" ht="14.25" customHeight="1" x14ac:dyDescent="0.2">
      <c r="F21" s="32" t="s">
        <v>20</v>
      </c>
      <c r="G21" s="33">
        <f t="shared" ref="G21:N21" si="6">AVERAGE(G16:G20)</f>
        <v>0</v>
      </c>
      <c r="H21" s="34">
        <f t="shared" si="6"/>
        <v>0</v>
      </c>
      <c r="I21" s="34">
        <f t="shared" si="6"/>
        <v>0</v>
      </c>
      <c r="J21" s="34">
        <f t="shared" si="6"/>
        <v>0</v>
      </c>
      <c r="K21" s="34">
        <f t="shared" si="6"/>
        <v>0</v>
      </c>
      <c r="L21" s="34">
        <f t="shared" si="6"/>
        <v>0</v>
      </c>
      <c r="M21" s="34">
        <f t="shared" si="6"/>
        <v>0</v>
      </c>
      <c r="N21" s="35">
        <f t="shared" si="6"/>
        <v>0</v>
      </c>
    </row>
    <row r="22" spans="2:14" ht="14.25" customHeight="1" thickBot="1" x14ac:dyDescent="0.25">
      <c r="F22" s="36" t="s">
        <v>23</v>
      </c>
      <c r="G22" s="37">
        <f t="shared" ref="G22:N22" si="7">_xlfn.STDEV.S(G16:G20)</f>
        <v>0</v>
      </c>
      <c r="H22" s="37">
        <f t="shared" si="7"/>
        <v>0</v>
      </c>
      <c r="I22" s="37">
        <f t="shared" si="7"/>
        <v>0</v>
      </c>
      <c r="J22" s="37">
        <f t="shared" si="7"/>
        <v>0</v>
      </c>
      <c r="K22" s="37">
        <f t="shared" si="7"/>
        <v>0</v>
      </c>
      <c r="L22" s="37">
        <f t="shared" si="7"/>
        <v>0</v>
      </c>
      <c r="M22" s="37">
        <f t="shared" si="7"/>
        <v>0</v>
      </c>
      <c r="N22" s="37">
        <f t="shared" si="7"/>
        <v>0</v>
      </c>
    </row>
    <row r="23" spans="2:14" ht="14.25" customHeight="1" x14ac:dyDescent="0.15"/>
    <row r="24" spans="2:14" ht="14.25" customHeight="1" x14ac:dyDescent="0.2">
      <c r="F24" s="5"/>
      <c r="G24" s="68" t="s">
        <v>27</v>
      </c>
      <c r="H24" s="65"/>
      <c r="I24" s="65"/>
      <c r="J24" s="65"/>
      <c r="K24" s="65"/>
      <c r="L24" s="65"/>
      <c r="M24" s="65"/>
      <c r="N24" s="66"/>
    </row>
    <row r="25" spans="2:14" ht="14.25" customHeight="1" thickBot="1" x14ac:dyDescent="0.25">
      <c r="F25" s="42"/>
      <c r="G25" s="61" t="s">
        <v>5</v>
      </c>
      <c r="H25" s="62"/>
      <c r="I25" s="62"/>
      <c r="J25" s="62"/>
      <c r="K25" s="62"/>
      <c r="L25" s="62"/>
      <c r="M25" s="62"/>
      <c r="N25" s="63"/>
    </row>
    <row r="26" spans="2:14" ht="14.25" customHeight="1" thickBot="1" x14ac:dyDescent="0.25">
      <c r="F26" s="12" t="s">
        <v>8</v>
      </c>
      <c r="G26" s="13">
        <f t="shared" ref="G26:N26" si="8">G4</f>
        <v>0</v>
      </c>
      <c r="H26" s="13">
        <f t="shared" si="8"/>
        <v>2</v>
      </c>
      <c r="I26" s="13">
        <f t="shared" si="8"/>
        <v>18</v>
      </c>
      <c r="J26" s="13">
        <f t="shared" si="8"/>
        <v>24</v>
      </c>
      <c r="K26" s="13">
        <f t="shared" si="8"/>
        <v>48</v>
      </c>
      <c r="L26" s="13">
        <f t="shared" si="8"/>
        <v>72</v>
      </c>
      <c r="M26" s="13" t="str">
        <f t="shared" si="8"/>
        <v>-</v>
      </c>
      <c r="N26" s="13" t="str">
        <f t="shared" si="8"/>
        <v>-</v>
      </c>
    </row>
    <row r="27" spans="2:14" ht="14.25" customHeight="1" thickBot="1" x14ac:dyDescent="0.25">
      <c r="F27" s="17">
        <f t="shared" ref="F27:F31" si="9">F5</f>
        <v>1</v>
      </c>
      <c r="G27" s="51">
        <v>0</v>
      </c>
      <c r="H27" s="52" t="e">
        <f t="shared" ref="H27:N31" si="10">H16/$C14/1000</f>
        <v>#VALUE!</v>
      </c>
      <c r="I27" s="52" t="e">
        <f t="shared" si="10"/>
        <v>#VALUE!</v>
      </c>
      <c r="J27" s="52" t="e">
        <f t="shared" si="10"/>
        <v>#VALUE!</v>
      </c>
      <c r="K27" s="52" t="e">
        <f t="shared" si="10"/>
        <v>#VALUE!</v>
      </c>
      <c r="L27" s="52" t="e">
        <f t="shared" si="10"/>
        <v>#VALUE!</v>
      </c>
      <c r="M27" s="52" t="e">
        <f t="shared" si="10"/>
        <v>#VALUE!</v>
      </c>
      <c r="N27" s="53" t="e">
        <f t="shared" si="10"/>
        <v>#VALUE!</v>
      </c>
    </row>
    <row r="28" spans="2:14" ht="14.25" customHeight="1" thickBot="1" x14ac:dyDescent="0.25">
      <c r="F28" s="17">
        <f t="shared" si="9"/>
        <v>2</v>
      </c>
      <c r="G28" s="54">
        <v>0</v>
      </c>
      <c r="H28" s="55" t="e">
        <f t="shared" si="10"/>
        <v>#VALUE!</v>
      </c>
      <c r="I28" s="55" t="e">
        <f t="shared" si="10"/>
        <v>#VALUE!</v>
      </c>
      <c r="J28" s="55" t="e">
        <f t="shared" si="10"/>
        <v>#VALUE!</v>
      </c>
      <c r="K28" s="55" t="e">
        <f t="shared" si="10"/>
        <v>#VALUE!</v>
      </c>
      <c r="L28" s="55" t="e">
        <f t="shared" si="10"/>
        <v>#VALUE!</v>
      </c>
      <c r="M28" s="55" t="e">
        <f t="shared" si="10"/>
        <v>#VALUE!</v>
      </c>
      <c r="N28" s="56" t="e">
        <f t="shared" si="10"/>
        <v>#VALUE!</v>
      </c>
    </row>
    <row r="29" spans="2:14" ht="14.25" customHeight="1" thickBot="1" x14ac:dyDescent="0.25">
      <c r="F29" s="17">
        <f t="shared" si="9"/>
        <v>3</v>
      </c>
      <c r="G29" s="54">
        <v>0</v>
      </c>
      <c r="H29" s="55" t="e">
        <f t="shared" si="10"/>
        <v>#VALUE!</v>
      </c>
      <c r="I29" s="55" t="e">
        <f t="shared" si="10"/>
        <v>#VALUE!</v>
      </c>
      <c r="J29" s="55" t="e">
        <f t="shared" si="10"/>
        <v>#VALUE!</v>
      </c>
      <c r="K29" s="55" t="e">
        <f t="shared" si="10"/>
        <v>#VALUE!</v>
      </c>
      <c r="L29" s="55" t="e">
        <f t="shared" si="10"/>
        <v>#VALUE!</v>
      </c>
      <c r="M29" s="55" t="e">
        <f t="shared" si="10"/>
        <v>#VALUE!</v>
      </c>
      <c r="N29" s="56" t="e">
        <f t="shared" si="10"/>
        <v>#VALUE!</v>
      </c>
    </row>
    <row r="30" spans="2:14" ht="14.25" customHeight="1" thickBot="1" x14ac:dyDescent="0.25">
      <c r="F30" s="17">
        <f t="shared" si="9"/>
        <v>4</v>
      </c>
      <c r="G30" s="54">
        <v>0</v>
      </c>
      <c r="H30" s="55" t="e">
        <f t="shared" si="10"/>
        <v>#VALUE!</v>
      </c>
      <c r="I30" s="55" t="e">
        <f t="shared" si="10"/>
        <v>#VALUE!</v>
      </c>
      <c r="J30" s="55" t="e">
        <f t="shared" si="10"/>
        <v>#VALUE!</v>
      </c>
      <c r="K30" s="55" t="e">
        <f t="shared" si="10"/>
        <v>#VALUE!</v>
      </c>
      <c r="L30" s="55" t="e">
        <f t="shared" si="10"/>
        <v>#VALUE!</v>
      </c>
      <c r="M30" s="55" t="e">
        <f t="shared" si="10"/>
        <v>#VALUE!</v>
      </c>
      <c r="N30" s="56" t="e">
        <f t="shared" si="10"/>
        <v>#VALUE!</v>
      </c>
    </row>
    <row r="31" spans="2:14" ht="14.25" customHeight="1" thickBot="1" x14ac:dyDescent="0.25">
      <c r="F31" s="17">
        <f t="shared" si="9"/>
        <v>5</v>
      </c>
      <c r="G31" s="57">
        <v>0</v>
      </c>
      <c r="H31" s="58" t="e">
        <f t="shared" si="10"/>
        <v>#VALUE!</v>
      </c>
      <c r="I31" s="58" t="e">
        <f t="shared" si="10"/>
        <v>#VALUE!</v>
      </c>
      <c r="J31" s="58" t="e">
        <f t="shared" si="10"/>
        <v>#VALUE!</v>
      </c>
      <c r="K31" s="58" t="e">
        <f t="shared" si="10"/>
        <v>#VALUE!</v>
      </c>
      <c r="L31" s="58" t="e">
        <f t="shared" si="10"/>
        <v>#VALUE!</v>
      </c>
      <c r="M31" s="58" t="e">
        <f t="shared" si="10"/>
        <v>#VALUE!</v>
      </c>
      <c r="N31" s="58" t="e">
        <f t="shared" si="10"/>
        <v>#VALUE!</v>
      </c>
    </row>
    <row r="32" spans="2:14" ht="14.25" customHeight="1" x14ac:dyDescent="0.2">
      <c r="F32" s="32" t="s">
        <v>20</v>
      </c>
      <c r="G32" s="59">
        <f t="shared" ref="G32:N32" si="11">AVERAGE(G27:G31)</f>
        <v>0</v>
      </c>
      <c r="H32" s="60" t="e">
        <f t="shared" si="11"/>
        <v>#VALUE!</v>
      </c>
      <c r="I32" s="60" t="e">
        <f t="shared" si="11"/>
        <v>#VALUE!</v>
      </c>
      <c r="J32" s="60" t="e">
        <f t="shared" si="11"/>
        <v>#VALUE!</v>
      </c>
      <c r="K32" s="60" t="e">
        <f t="shared" si="11"/>
        <v>#VALUE!</v>
      </c>
      <c r="L32" s="60" t="e">
        <f t="shared" si="11"/>
        <v>#VALUE!</v>
      </c>
      <c r="M32" s="60" t="e">
        <f t="shared" si="11"/>
        <v>#VALUE!</v>
      </c>
      <c r="N32" s="60" t="e">
        <f t="shared" si="11"/>
        <v>#VALUE!</v>
      </c>
    </row>
    <row r="33" spans="6:14" ht="14.25" customHeight="1" thickBot="1" x14ac:dyDescent="0.25">
      <c r="F33" s="36" t="s">
        <v>23</v>
      </c>
      <c r="G33" s="37">
        <f t="shared" ref="G33:N33" si="12">_xlfn.STDEV.S(G27:G31)</f>
        <v>0</v>
      </c>
      <c r="H33" s="37" t="e">
        <f t="shared" si="12"/>
        <v>#VALUE!</v>
      </c>
      <c r="I33" s="37" t="e">
        <f t="shared" si="12"/>
        <v>#VALUE!</v>
      </c>
      <c r="J33" s="37" t="e">
        <f t="shared" si="12"/>
        <v>#VALUE!</v>
      </c>
      <c r="K33" s="37" t="e">
        <f t="shared" si="12"/>
        <v>#VALUE!</v>
      </c>
      <c r="L33" s="37" t="e">
        <f t="shared" si="12"/>
        <v>#VALUE!</v>
      </c>
      <c r="M33" s="37" t="e">
        <f t="shared" si="12"/>
        <v>#VALUE!</v>
      </c>
      <c r="N33" s="37" t="e">
        <f t="shared" si="12"/>
        <v>#VALUE!</v>
      </c>
    </row>
    <row r="34" spans="6:14" ht="14.25" customHeight="1" x14ac:dyDescent="0.15"/>
    <row r="35" spans="6:14" ht="14.25" customHeight="1" x14ac:dyDescent="0.15"/>
    <row r="36" spans="6:14" ht="14.25" customHeight="1" x14ac:dyDescent="0.15"/>
    <row r="37" spans="6:14" ht="14.25" customHeight="1" x14ac:dyDescent="0.15"/>
    <row r="38" spans="6:14" ht="14.25" customHeight="1" x14ac:dyDescent="0.15"/>
    <row r="39" spans="6:14" ht="14.25" customHeight="1" x14ac:dyDescent="0.15"/>
    <row r="40" spans="6:14" ht="14.25" customHeight="1" x14ac:dyDescent="0.15"/>
    <row r="41" spans="6:14" ht="14.25" customHeight="1" x14ac:dyDescent="0.15"/>
    <row r="42" spans="6:14" ht="14.25" customHeight="1" x14ac:dyDescent="0.15"/>
    <row r="43" spans="6:14" ht="14.25" customHeight="1" x14ac:dyDescent="0.15"/>
    <row r="44" spans="6:14" ht="14.25" customHeight="1" x14ac:dyDescent="0.15"/>
    <row r="45" spans="6:14" ht="14.25" customHeight="1" x14ac:dyDescent="0.15"/>
    <row r="46" spans="6:14" ht="14.25" customHeight="1" x14ac:dyDescent="0.15"/>
    <row r="47" spans="6:14" ht="14.25" customHeight="1" x14ac:dyDescent="0.15"/>
    <row r="48" spans="6:14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</sheetData>
  <mergeCells count="6">
    <mergeCell ref="G25:N25"/>
    <mergeCell ref="G2:N2"/>
    <mergeCell ref="G3:N3"/>
    <mergeCell ref="G13:N13"/>
    <mergeCell ref="G14:N14"/>
    <mergeCell ref="G24:N24"/>
  </mergeCells>
  <pageMargins left="0.69930555555555596" right="0.69930555555555596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00"/>
  <sheetViews>
    <sheetView workbookViewId="0">
      <selection activeCell="B38" sqref="B38"/>
    </sheetView>
  </sheetViews>
  <sheetFormatPr baseColWidth="10" defaultColWidth="12.6640625" defaultRowHeight="15" customHeight="1" x14ac:dyDescent="0.15"/>
  <cols>
    <col min="1" max="1" width="7.83203125" customWidth="1"/>
    <col min="2" max="2" width="14.83203125" customWidth="1"/>
    <col min="3" max="3" width="15" customWidth="1"/>
    <col min="4" max="4" width="11.6640625" customWidth="1"/>
    <col min="5" max="5" width="7.83203125" customWidth="1"/>
    <col min="6" max="14" width="5.6640625" customWidth="1"/>
    <col min="15" max="26" width="7.83203125" customWidth="1"/>
  </cols>
  <sheetData>
    <row r="1" spans="2:15" ht="14.25" customHeight="1" thickBot="1" x14ac:dyDescent="0.25">
      <c r="B1" s="1"/>
      <c r="C1" s="1"/>
      <c r="D1" s="1"/>
      <c r="E1" s="1"/>
    </row>
    <row r="2" spans="2:15" ht="14.25" customHeight="1" x14ac:dyDescent="0.2">
      <c r="B2" s="2" t="s">
        <v>0</v>
      </c>
      <c r="C2" s="3" t="s">
        <v>1</v>
      </c>
      <c r="D2" s="4" t="s">
        <v>2</v>
      </c>
      <c r="E2" s="1"/>
      <c r="F2" s="5"/>
      <c r="G2" s="64" t="s">
        <v>3</v>
      </c>
      <c r="H2" s="65"/>
      <c r="I2" s="65"/>
      <c r="J2" s="65"/>
      <c r="K2" s="65"/>
      <c r="L2" s="65"/>
      <c r="M2" s="65"/>
      <c r="N2" s="66"/>
    </row>
    <row r="3" spans="2:15" ht="14.25" customHeight="1" thickBot="1" x14ac:dyDescent="0.25">
      <c r="B3" s="6" t="s">
        <v>4</v>
      </c>
      <c r="C3" s="7" t="s">
        <v>1</v>
      </c>
      <c r="D3" s="8" t="s">
        <v>2</v>
      </c>
      <c r="E3" s="1"/>
      <c r="F3" s="1"/>
      <c r="G3" s="61" t="s">
        <v>5</v>
      </c>
      <c r="H3" s="62"/>
      <c r="I3" s="62"/>
      <c r="J3" s="62"/>
      <c r="K3" s="62"/>
      <c r="L3" s="62"/>
      <c r="M3" s="62"/>
      <c r="N3" s="63"/>
    </row>
    <row r="4" spans="2:15" ht="14.25" customHeight="1" thickBot="1" x14ac:dyDescent="0.25">
      <c r="B4" s="9" t="s">
        <v>6</v>
      </c>
      <c r="C4" s="10" t="s">
        <v>1</v>
      </c>
      <c r="D4" s="11" t="s">
        <v>7</v>
      </c>
      <c r="E4" s="1"/>
      <c r="F4" s="12" t="s">
        <v>8</v>
      </c>
      <c r="G4" s="13">
        <v>0</v>
      </c>
      <c r="H4" s="14">
        <v>2</v>
      </c>
      <c r="I4" s="14">
        <v>18</v>
      </c>
      <c r="J4" s="14">
        <v>24</v>
      </c>
      <c r="K4" s="14">
        <v>48</v>
      </c>
      <c r="L4" s="14">
        <v>72</v>
      </c>
      <c r="M4" s="14" t="s">
        <v>9</v>
      </c>
      <c r="N4" s="15" t="s">
        <v>9</v>
      </c>
    </row>
    <row r="5" spans="2:15" ht="14.25" customHeight="1" thickBot="1" x14ac:dyDescent="0.25">
      <c r="B5" s="16"/>
      <c r="C5" s="1"/>
      <c r="D5" s="1"/>
      <c r="E5" s="1"/>
      <c r="F5" s="17">
        <v>1</v>
      </c>
      <c r="G5" s="18">
        <v>0</v>
      </c>
      <c r="I5" s="19"/>
      <c r="J5" s="19"/>
      <c r="K5" s="19"/>
      <c r="L5" s="20"/>
      <c r="M5" s="20"/>
      <c r="N5" s="21"/>
      <c r="O5" s="22"/>
    </row>
    <row r="6" spans="2:15" ht="14.25" customHeight="1" thickBot="1" x14ac:dyDescent="0.25">
      <c r="B6" s="2" t="s">
        <v>10</v>
      </c>
      <c r="C6" s="23" t="s">
        <v>1</v>
      </c>
      <c r="D6" s="4" t="s">
        <v>11</v>
      </c>
      <c r="E6" s="1"/>
      <c r="F6" s="24">
        <v>2</v>
      </c>
      <c r="G6" s="18">
        <v>0</v>
      </c>
      <c r="H6" s="25"/>
      <c r="I6" s="25"/>
      <c r="J6" s="25"/>
      <c r="K6" s="1"/>
      <c r="L6" s="1"/>
      <c r="M6" s="1"/>
      <c r="N6" s="26"/>
      <c r="O6" s="22"/>
    </row>
    <row r="7" spans="2:15" ht="14.25" customHeight="1" thickBot="1" x14ac:dyDescent="0.25">
      <c r="B7" s="6" t="s">
        <v>12</v>
      </c>
      <c r="C7" s="27" t="s">
        <v>1</v>
      </c>
      <c r="D7" s="8" t="s">
        <v>13</v>
      </c>
      <c r="E7" s="1"/>
      <c r="F7" s="24">
        <v>3</v>
      </c>
      <c r="G7" s="18">
        <v>0</v>
      </c>
      <c r="H7" s="1"/>
      <c r="I7" s="1"/>
      <c r="J7" s="1"/>
      <c r="K7" s="1"/>
      <c r="L7" s="1"/>
      <c r="M7" s="1"/>
      <c r="N7" s="26"/>
      <c r="O7" s="22"/>
    </row>
    <row r="8" spans="2:15" ht="14.25" customHeight="1" thickBot="1" x14ac:dyDescent="0.25">
      <c r="B8" s="6" t="s">
        <v>14</v>
      </c>
      <c r="C8" s="28">
        <v>5</v>
      </c>
      <c r="D8" s="8" t="s">
        <v>15</v>
      </c>
      <c r="E8" s="1"/>
      <c r="F8" s="24">
        <v>4</v>
      </c>
      <c r="G8" s="18">
        <v>0</v>
      </c>
      <c r="H8" s="1"/>
      <c r="I8" s="1"/>
      <c r="J8" s="1"/>
      <c r="K8" s="1"/>
      <c r="L8" s="1"/>
      <c r="M8" s="1"/>
      <c r="N8" s="26"/>
      <c r="O8" s="22"/>
    </row>
    <row r="9" spans="2:15" ht="14.25" customHeight="1" thickBot="1" x14ac:dyDescent="0.25">
      <c r="B9" s="6" t="s">
        <v>16</v>
      </c>
      <c r="C9" s="27" t="s">
        <v>1</v>
      </c>
      <c r="D9" s="8" t="s">
        <v>17</v>
      </c>
      <c r="E9" s="1"/>
      <c r="F9" s="29">
        <v>5</v>
      </c>
      <c r="G9" s="18">
        <v>0</v>
      </c>
      <c r="H9" s="30"/>
      <c r="I9" s="30"/>
      <c r="J9" s="30"/>
      <c r="K9" s="30"/>
      <c r="L9" s="30"/>
      <c r="M9" s="30"/>
      <c r="N9" s="31"/>
    </row>
    <row r="10" spans="2:15" ht="14.25" customHeight="1" x14ac:dyDescent="0.2">
      <c r="B10" s="6" t="s">
        <v>18</v>
      </c>
      <c r="C10" s="27" t="s">
        <v>1</v>
      </c>
      <c r="D10" s="8" t="s">
        <v>19</v>
      </c>
      <c r="E10" s="1"/>
      <c r="F10" s="32" t="s">
        <v>20</v>
      </c>
      <c r="G10" s="33">
        <f t="shared" ref="G10:N10" si="0">AVERAGE(G5:G9)</f>
        <v>0</v>
      </c>
      <c r="H10" s="34" t="e">
        <f t="shared" si="0"/>
        <v>#DIV/0!</v>
      </c>
      <c r="I10" s="34" t="e">
        <f t="shared" si="0"/>
        <v>#DIV/0!</v>
      </c>
      <c r="J10" s="34" t="e">
        <f t="shared" si="0"/>
        <v>#DIV/0!</v>
      </c>
      <c r="K10" s="34" t="e">
        <f t="shared" si="0"/>
        <v>#DIV/0!</v>
      </c>
      <c r="L10" s="34" t="e">
        <f t="shared" si="0"/>
        <v>#DIV/0!</v>
      </c>
      <c r="M10" s="34" t="e">
        <f t="shared" si="0"/>
        <v>#DIV/0!</v>
      </c>
      <c r="N10" s="35" t="e">
        <f t="shared" si="0"/>
        <v>#DIV/0!</v>
      </c>
    </row>
    <row r="11" spans="2:15" ht="14.25" customHeight="1" thickBot="1" x14ac:dyDescent="0.25">
      <c r="B11" s="9" t="s">
        <v>21</v>
      </c>
      <c r="C11" s="10" t="s">
        <v>1</v>
      </c>
      <c r="D11" s="11" t="s">
        <v>22</v>
      </c>
      <c r="E11" s="1"/>
      <c r="F11" s="36" t="s">
        <v>23</v>
      </c>
      <c r="G11" s="37">
        <f t="shared" ref="G11:N11" si="1">_xlfn.STDEV.S(G5:G9)</f>
        <v>0</v>
      </c>
      <c r="H11" s="37" t="e">
        <f t="shared" si="1"/>
        <v>#DIV/0!</v>
      </c>
      <c r="I11" s="37" t="e">
        <f t="shared" si="1"/>
        <v>#DIV/0!</v>
      </c>
      <c r="J11" s="37" t="e">
        <f t="shared" si="1"/>
        <v>#DIV/0!</v>
      </c>
      <c r="K11" s="37" t="e">
        <f t="shared" si="1"/>
        <v>#DIV/0!</v>
      </c>
      <c r="L11" s="37" t="e">
        <f t="shared" si="1"/>
        <v>#DIV/0!</v>
      </c>
      <c r="M11" s="37" t="e">
        <f t="shared" si="1"/>
        <v>#DIV/0!</v>
      </c>
      <c r="N11" s="37" t="e">
        <f t="shared" si="1"/>
        <v>#DIV/0!</v>
      </c>
    </row>
    <row r="12" spans="2:15" ht="14.25" customHeight="1" thickBot="1" x14ac:dyDescent="0.25">
      <c r="D12" s="1"/>
      <c r="E12" s="1"/>
    </row>
    <row r="13" spans="2:15" ht="14.25" customHeight="1" thickBot="1" x14ac:dyDescent="0.25">
      <c r="B13" s="38" t="s">
        <v>24</v>
      </c>
      <c r="C13" s="39" t="s">
        <v>25</v>
      </c>
      <c r="D13" s="1"/>
      <c r="E13" s="1"/>
      <c r="F13" s="5"/>
      <c r="G13" s="67" t="s">
        <v>26</v>
      </c>
      <c r="H13" s="65"/>
      <c r="I13" s="65"/>
      <c r="J13" s="65"/>
      <c r="K13" s="65"/>
      <c r="L13" s="65"/>
      <c r="M13" s="65"/>
      <c r="N13" s="66"/>
    </row>
    <row r="14" spans="2:15" ht="14.25" customHeight="1" thickBot="1" x14ac:dyDescent="0.25">
      <c r="B14" s="40">
        <v>1</v>
      </c>
      <c r="C14" s="41" t="s">
        <v>1</v>
      </c>
      <c r="D14" s="1"/>
      <c r="E14" s="1"/>
      <c r="F14" s="42"/>
      <c r="G14" s="61" t="s">
        <v>5</v>
      </c>
      <c r="H14" s="62"/>
      <c r="I14" s="62"/>
      <c r="J14" s="62"/>
      <c r="K14" s="62"/>
      <c r="L14" s="62"/>
      <c r="M14" s="62"/>
      <c r="N14" s="63"/>
    </row>
    <row r="15" spans="2:15" ht="14.25" customHeight="1" thickBot="1" x14ac:dyDescent="0.25">
      <c r="B15" s="43">
        <v>2</v>
      </c>
      <c r="C15" s="44" t="s">
        <v>1</v>
      </c>
      <c r="D15" s="1"/>
      <c r="E15" s="1"/>
      <c r="F15" s="12" t="s">
        <v>8</v>
      </c>
      <c r="G15" s="45">
        <f t="shared" ref="G15:N15" si="2">G4</f>
        <v>0</v>
      </c>
      <c r="H15" s="45">
        <f t="shared" si="2"/>
        <v>2</v>
      </c>
      <c r="I15" s="45">
        <f t="shared" si="2"/>
        <v>18</v>
      </c>
      <c r="J15" s="45">
        <f t="shared" si="2"/>
        <v>24</v>
      </c>
      <c r="K15" s="45">
        <f t="shared" si="2"/>
        <v>48</v>
      </c>
      <c r="L15" s="45">
        <f t="shared" si="2"/>
        <v>72</v>
      </c>
      <c r="M15" s="45" t="str">
        <f t="shared" si="2"/>
        <v>-</v>
      </c>
      <c r="N15" s="45" t="str">
        <f t="shared" si="2"/>
        <v>-</v>
      </c>
    </row>
    <row r="16" spans="2:15" ht="14.25" customHeight="1" thickBot="1" x14ac:dyDescent="0.25">
      <c r="B16" s="43">
        <v>3</v>
      </c>
      <c r="C16" s="44" t="s">
        <v>1</v>
      </c>
      <c r="F16" s="17">
        <f t="shared" ref="F16:F20" si="3">F5</f>
        <v>1</v>
      </c>
      <c r="G16" s="46">
        <v>0</v>
      </c>
      <c r="H16" s="20">
        <f>I5*$C$8/1000</f>
        <v>0</v>
      </c>
      <c r="I16" s="1">
        <f t="shared" ref="I16:N16" si="4">I5*$C$8/1000</f>
        <v>0</v>
      </c>
      <c r="J16" s="20">
        <f t="shared" si="4"/>
        <v>0</v>
      </c>
      <c r="K16" s="20">
        <f t="shared" si="4"/>
        <v>0</v>
      </c>
      <c r="L16" s="20">
        <f t="shared" si="4"/>
        <v>0</v>
      </c>
      <c r="M16" s="20">
        <f t="shared" si="4"/>
        <v>0</v>
      </c>
      <c r="N16" s="21">
        <f t="shared" si="4"/>
        <v>0</v>
      </c>
    </row>
    <row r="17" spans="2:14" ht="14.25" customHeight="1" thickBot="1" x14ac:dyDescent="0.25">
      <c r="B17" s="43">
        <v>4</v>
      </c>
      <c r="C17" s="44" t="s">
        <v>1</v>
      </c>
      <c r="F17" s="17">
        <f t="shared" si="3"/>
        <v>2</v>
      </c>
      <c r="G17" s="47">
        <v>0</v>
      </c>
      <c r="H17" s="1">
        <f t="shared" ref="H17:N20" si="5">H6*$C$8/1000</f>
        <v>0</v>
      </c>
      <c r="I17" s="1">
        <f t="shared" si="5"/>
        <v>0</v>
      </c>
      <c r="J17" s="1">
        <f t="shared" si="5"/>
        <v>0</v>
      </c>
      <c r="K17" s="1">
        <f t="shared" si="5"/>
        <v>0</v>
      </c>
      <c r="L17" s="1">
        <f t="shared" si="5"/>
        <v>0</v>
      </c>
      <c r="M17" s="1">
        <f t="shared" si="5"/>
        <v>0</v>
      </c>
      <c r="N17" s="26">
        <f t="shared" si="5"/>
        <v>0</v>
      </c>
    </row>
    <row r="18" spans="2:14" ht="14.25" customHeight="1" thickBot="1" x14ac:dyDescent="0.25">
      <c r="B18" s="48">
        <v>5</v>
      </c>
      <c r="C18" s="49" t="s">
        <v>1</v>
      </c>
      <c r="F18" s="17">
        <f t="shared" si="3"/>
        <v>3</v>
      </c>
      <c r="G18" s="47">
        <v>0</v>
      </c>
      <c r="H18" s="1">
        <f t="shared" si="5"/>
        <v>0</v>
      </c>
      <c r="I18" s="1">
        <f t="shared" si="5"/>
        <v>0</v>
      </c>
      <c r="J18" s="1">
        <f t="shared" si="5"/>
        <v>0</v>
      </c>
      <c r="K18" s="1">
        <f t="shared" si="5"/>
        <v>0</v>
      </c>
      <c r="L18" s="1">
        <f t="shared" si="5"/>
        <v>0</v>
      </c>
      <c r="M18" s="1">
        <f t="shared" si="5"/>
        <v>0</v>
      </c>
      <c r="N18" s="26">
        <f t="shared" si="5"/>
        <v>0</v>
      </c>
    </row>
    <row r="19" spans="2:14" ht="14.25" customHeight="1" thickBot="1" x14ac:dyDescent="0.25">
      <c r="F19" s="17">
        <f t="shared" si="3"/>
        <v>4</v>
      </c>
      <c r="G19" s="47">
        <v>0</v>
      </c>
      <c r="H19" s="1">
        <f t="shared" si="5"/>
        <v>0</v>
      </c>
      <c r="I19" s="1">
        <f t="shared" si="5"/>
        <v>0</v>
      </c>
      <c r="J19" s="1">
        <f t="shared" si="5"/>
        <v>0</v>
      </c>
      <c r="K19" s="1">
        <f t="shared" si="5"/>
        <v>0</v>
      </c>
      <c r="L19" s="1">
        <f t="shared" si="5"/>
        <v>0</v>
      </c>
      <c r="M19" s="1">
        <f t="shared" si="5"/>
        <v>0</v>
      </c>
      <c r="N19" s="26">
        <f t="shared" si="5"/>
        <v>0</v>
      </c>
    </row>
    <row r="20" spans="2:14" ht="14.25" customHeight="1" thickBot="1" x14ac:dyDescent="0.25">
      <c r="F20" s="17">
        <f t="shared" si="3"/>
        <v>5</v>
      </c>
      <c r="G20" s="50">
        <v>0</v>
      </c>
      <c r="H20" s="30">
        <f t="shared" si="5"/>
        <v>0</v>
      </c>
      <c r="I20" s="30">
        <f t="shared" si="5"/>
        <v>0</v>
      </c>
      <c r="J20" s="30">
        <f t="shared" si="5"/>
        <v>0</v>
      </c>
      <c r="K20" s="30">
        <f t="shared" si="5"/>
        <v>0</v>
      </c>
      <c r="L20" s="30">
        <f t="shared" si="5"/>
        <v>0</v>
      </c>
      <c r="M20" s="30">
        <f t="shared" si="5"/>
        <v>0</v>
      </c>
      <c r="N20" s="31">
        <f t="shared" si="5"/>
        <v>0</v>
      </c>
    </row>
    <row r="21" spans="2:14" ht="14.25" customHeight="1" x14ac:dyDescent="0.2">
      <c r="F21" s="32" t="s">
        <v>20</v>
      </c>
      <c r="G21" s="33">
        <f t="shared" ref="G21:N21" si="6">AVERAGE(G16:G20)</f>
        <v>0</v>
      </c>
      <c r="H21" s="34">
        <f t="shared" si="6"/>
        <v>0</v>
      </c>
      <c r="I21" s="34">
        <f t="shared" si="6"/>
        <v>0</v>
      </c>
      <c r="J21" s="34">
        <f t="shared" si="6"/>
        <v>0</v>
      </c>
      <c r="K21" s="34">
        <f t="shared" si="6"/>
        <v>0</v>
      </c>
      <c r="L21" s="34">
        <f t="shared" si="6"/>
        <v>0</v>
      </c>
      <c r="M21" s="34">
        <f t="shared" si="6"/>
        <v>0</v>
      </c>
      <c r="N21" s="35">
        <f t="shared" si="6"/>
        <v>0</v>
      </c>
    </row>
    <row r="22" spans="2:14" ht="14.25" customHeight="1" thickBot="1" x14ac:dyDescent="0.25">
      <c r="F22" s="36" t="s">
        <v>23</v>
      </c>
      <c r="G22" s="37">
        <f t="shared" ref="G22:N22" si="7">_xlfn.STDEV.S(G16:G20)</f>
        <v>0</v>
      </c>
      <c r="H22" s="37">
        <f t="shared" si="7"/>
        <v>0</v>
      </c>
      <c r="I22" s="37">
        <f t="shared" si="7"/>
        <v>0</v>
      </c>
      <c r="J22" s="37">
        <f t="shared" si="7"/>
        <v>0</v>
      </c>
      <c r="K22" s="37">
        <f t="shared" si="7"/>
        <v>0</v>
      </c>
      <c r="L22" s="37">
        <f t="shared" si="7"/>
        <v>0</v>
      </c>
      <c r="M22" s="37">
        <f t="shared" si="7"/>
        <v>0</v>
      </c>
      <c r="N22" s="37">
        <f t="shared" si="7"/>
        <v>0</v>
      </c>
    </row>
    <row r="23" spans="2:14" ht="14.25" customHeight="1" x14ac:dyDescent="0.15"/>
    <row r="24" spans="2:14" ht="14.25" customHeight="1" x14ac:dyDescent="0.2">
      <c r="F24" s="5"/>
      <c r="G24" s="68" t="s">
        <v>27</v>
      </c>
      <c r="H24" s="65"/>
      <c r="I24" s="65"/>
      <c r="J24" s="65"/>
      <c r="K24" s="65"/>
      <c r="L24" s="65"/>
      <c r="M24" s="65"/>
      <c r="N24" s="66"/>
    </row>
    <row r="25" spans="2:14" ht="14.25" customHeight="1" thickBot="1" x14ac:dyDescent="0.25">
      <c r="F25" s="42"/>
      <c r="G25" s="61" t="s">
        <v>5</v>
      </c>
      <c r="H25" s="62"/>
      <c r="I25" s="62"/>
      <c r="J25" s="62"/>
      <c r="K25" s="62"/>
      <c r="L25" s="62"/>
      <c r="M25" s="62"/>
      <c r="N25" s="63"/>
    </row>
    <row r="26" spans="2:14" ht="14.25" customHeight="1" thickBot="1" x14ac:dyDescent="0.25">
      <c r="F26" s="12" t="s">
        <v>8</v>
      </c>
      <c r="G26" s="13">
        <f t="shared" ref="G26:N26" si="8">G4</f>
        <v>0</v>
      </c>
      <c r="H26" s="13">
        <f t="shared" si="8"/>
        <v>2</v>
      </c>
      <c r="I26" s="13">
        <f t="shared" si="8"/>
        <v>18</v>
      </c>
      <c r="J26" s="13">
        <f t="shared" si="8"/>
        <v>24</v>
      </c>
      <c r="K26" s="13">
        <f t="shared" si="8"/>
        <v>48</v>
      </c>
      <c r="L26" s="13">
        <f t="shared" si="8"/>
        <v>72</v>
      </c>
      <c r="M26" s="13" t="str">
        <f t="shared" si="8"/>
        <v>-</v>
      </c>
      <c r="N26" s="13" t="str">
        <f t="shared" si="8"/>
        <v>-</v>
      </c>
    </row>
    <row r="27" spans="2:14" ht="14.25" customHeight="1" thickBot="1" x14ac:dyDescent="0.25">
      <c r="F27" s="17">
        <f t="shared" ref="F27:F31" si="9">F5</f>
        <v>1</v>
      </c>
      <c r="G27" s="51">
        <v>0</v>
      </c>
      <c r="H27" s="52" t="e">
        <f t="shared" ref="H27:N31" si="10">H16/$C14/1000</f>
        <v>#VALUE!</v>
      </c>
      <c r="I27" s="52" t="e">
        <f t="shared" si="10"/>
        <v>#VALUE!</v>
      </c>
      <c r="J27" s="52" t="e">
        <f t="shared" si="10"/>
        <v>#VALUE!</v>
      </c>
      <c r="K27" s="52" t="e">
        <f t="shared" si="10"/>
        <v>#VALUE!</v>
      </c>
      <c r="L27" s="52" t="e">
        <f t="shared" si="10"/>
        <v>#VALUE!</v>
      </c>
      <c r="M27" s="52" t="e">
        <f t="shared" si="10"/>
        <v>#VALUE!</v>
      </c>
      <c r="N27" s="53" t="e">
        <f t="shared" si="10"/>
        <v>#VALUE!</v>
      </c>
    </row>
    <row r="28" spans="2:14" ht="14.25" customHeight="1" thickBot="1" x14ac:dyDescent="0.25">
      <c r="F28" s="17">
        <f t="shared" si="9"/>
        <v>2</v>
      </c>
      <c r="G28" s="54">
        <v>0</v>
      </c>
      <c r="H28" s="55" t="e">
        <f t="shared" si="10"/>
        <v>#VALUE!</v>
      </c>
      <c r="I28" s="55" t="e">
        <f t="shared" si="10"/>
        <v>#VALUE!</v>
      </c>
      <c r="J28" s="55" t="e">
        <f t="shared" si="10"/>
        <v>#VALUE!</v>
      </c>
      <c r="K28" s="55" t="e">
        <f t="shared" si="10"/>
        <v>#VALUE!</v>
      </c>
      <c r="L28" s="55" t="e">
        <f t="shared" si="10"/>
        <v>#VALUE!</v>
      </c>
      <c r="M28" s="55" t="e">
        <f t="shared" si="10"/>
        <v>#VALUE!</v>
      </c>
      <c r="N28" s="56" t="e">
        <f t="shared" si="10"/>
        <v>#VALUE!</v>
      </c>
    </row>
    <row r="29" spans="2:14" ht="14.25" customHeight="1" thickBot="1" x14ac:dyDescent="0.25">
      <c r="F29" s="17">
        <f t="shared" si="9"/>
        <v>3</v>
      </c>
      <c r="G29" s="54">
        <v>0</v>
      </c>
      <c r="H29" s="55" t="e">
        <f t="shared" si="10"/>
        <v>#VALUE!</v>
      </c>
      <c r="I29" s="55" t="e">
        <f t="shared" si="10"/>
        <v>#VALUE!</v>
      </c>
      <c r="J29" s="55" t="e">
        <f t="shared" si="10"/>
        <v>#VALUE!</v>
      </c>
      <c r="K29" s="55" t="e">
        <f t="shared" si="10"/>
        <v>#VALUE!</v>
      </c>
      <c r="L29" s="55" t="e">
        <f t="shared" si="10"/>
        <v>#VALUE!</v>
      </c>
      <c r="M29" s="55" t="e">
        <f t="shared" si="10"/>
        <v>#VALUE!</v>
      </c>
      <c r="N29" s="56" t="e">
        <f t="shared" si="10"/>
        <v>#VALUE!</v>
      </c>
    </row>
    <row r="30" spans="2:14" ht="14.25" customHeight="1" thickBot="1" x14ac:dyDescent="0.25">
      <c r="F30" s="17">
        <f t="shared" si="9"/>
        <v>4</v>
      </c>
      <c r="G30" s="54">
        <v>0</v>
      </c>
      <c r="H30" s="55" t="e">
        <f t="shared" si="10"/>
        <v>#VALUE!</v>
      </c>
      <c r="I30" s="55" t="e">
        <f t="shared" si="10"/>
        <v>#VALUE!</v>
      </c>
      <c r="J30" s="55" t="e">
        <f t="shared" si="10"/>
        <v>#VALUE!</v>
      </c>
      <c r="K30" s="55" t="e">
        <f t="shared" si="10"/>
        <v>#VALUE!</v>
      </c>
      <c r="L30" s="55" t="e">
        <f t="shared" si="10"/>
        <v>#VALUE!</v>
      </c>
      <c r="M30" s="55" t="e">
        <f t="shared" si="10"/>
        <v>#VALUE!</v>
      </c>
      <c r="N30" s="56" t="e">
        <f t="shared" si="10"/>
        <v>#VALUE!</v>
      </c>
    </row>
    <row r="31" spans="2:14" ht="14.25" customHeight="1" thickBot="1" x14ac:dyDescent="0.25">
      <c r="F31" s="17">
        <f t="shared" si="9"/>
        <v>5</v>
      </c>
      <c r="G31" s="57">
        <v>0</v>
      </c>
      <c r="H31" s="58" t="e">
        <f t="shared" si="10"/>
        <v>#VALUE!</v>
      </c>
      <c r="I31" s="58" t="e">
        <f t="shared" si="10"/>
        <v>#VALUE!</v>
      </c>
      <c r="J31" s="58" t="e">
        <f t="shared" si="10"/>
        <v>#VALUE!</v>
      </c>
      <c r="K31" s="58" t="e">
        <f t="shared" si="10"/>
        <v>#VALUE!</v>
      </c>
      <c r="L31" s="58" t="e">
        <f t="shared" si="10"/>
        <v>#VALUE!</v>
      </c>
      <c r="M31" s="58" t="e">
        <f t="shared" si="10"/>
        <v>#VALUE!</v>
      </c>
      <c r="N31" s="58" t="e">
        <f t="shared" si="10"/>
        <v>#VALUE!</v>
      </c>
    </row>
    <row r="32" spans="2:14" ht="14.25" customHeight="1" x14ac:dyDescent="0.2">
      <c r="F32" s="32" t="s">
        <v>20</v>
      </c>
      <c r="G32" s="59">
        <f t="shared" ref="G32:N32" si="11">AVERAGE(G27:G31)</f>
        <v>0</v>
      </c>
      <c r="H32" s="60" t="e">
        <f t="shared" si="11"/>
        <v>#VALUE!</v>
      </c>
      <c r="I32" s="60" t="e">
        <f t="shared" si="11"/>
        <v>#VALUE!</v>
      </c>
      <c r="J32" s="60" t="e">
        <f t="shared" si="11"/>
        <v>#VALUE!</v>
      </c>
      <c r="K32" s="60" t="e">
        <f t="shared" si="11"/>
        <v>#VALUE!</v>
      </c>
      <c r="L32" s="60" t="e">
        <f t="shared" si="11"/>
        <v>#VALUE!</v>
      </c>
      <c r="M32" s="60" t="e">
        <f t="shared" si="11"/>
        <v>#VALUE!</v>
      </c>
      <c r="N32" s="60" t="e">
        <f t="shared" si="11"/>
        <v>#VALUE!</v>
      </c>
    </row>
    <row r="33" spans="6:14" ht="14.25" customHeight="1" thickBot="1" x14ac:dyDescent="0.25">
      <c r="F33" s="36" t="s">
        <v>23</v>
      </c>
      <c r="G33" s="37">
        <f t="shared" ref="G33:N33" si="12">_xlfn.STDEV.S(G27:G31)</f>
        <v>0</v>
      </c>
      <c r="H33" s="37" t="e">
        <f t="shared" si="12"/>
        <v>#VALUE!</v>
      </c>
      <c r="I33" s="37" t="e">
        <f t="shared" si="12"/>
        <v>#VALUE!</v>
      </c>
      <c r="J33" s="37" t="e">
        <f t="shared" si="12"/>
        <v>#VALUE!</v>
      </c>
      <c r="K33" s="37" t="e">
        <f t="shared" si="12"/>
        <v>#VALUE!</v>
      </c>
      <c r="L33" s="37" t="e">
        <f t="shared" si="12"/>
        <v>#VALUE!</v>
      </c>
      <c r="M33" s="37" t="e">
        <f t="shared" si="12"/>
        <v>#VALUE!</v>
      </c>
      <c r="N33" s="37" t="e">
        <f t="shared" si="12"/>
        <v>#VALUE!</v>
      </c>
    </row>
    <row r="34" spans="6:14" ht="14.25" customHeight="1" x14ac:dyDescent="0.15"/>
    <row r="35" spans="6:14" ht="14.25" customHeight="1" x14ac:dyDescent="0.15"/>
    <row r="36" spans="6:14" ht="14.25" customHeight="1" x14ac:dyDescent="0.15"/>
    <row r="37" spans="6:14" ht="14.25" customHeight="1" x14ac:dyDescent="0.15"/>
    <row r="38" spans="6:14" ht="14.25" customHeight="1" x14ac:dyDescent="0.15"/>
    <row r="39" spans="6:14" ht="14.25" customHeight="1" x14ac:dyDescent="0.15"/>
    <row r="40" spans="6:14" ht="14.25" customHeight="1" x14ac:dyDescent="0.15"/>
    <row r="41" spans="6:14" ht="14.25" customHeight="1" x14ac:dyDescent="0.15"/>
    <row r="42" spans="6:14" ht="14.25" customHeight="1" x14ac:dyDescent="0.15"/>
    <row r="43" spans="6:14" ht="14.25" customHeight="1" x14ac:dyDescent="0.15"/>
    <row r="44" spans="6:14" ht="14.25" customHeight="1" x14ac:dyDescent="0.15"/>
    <row r="45" spans="6:14" ht="14.25" customHeight="1" x14ac:dyDescent="0.15"/>
    <row r="46" spans="6:14" ht="14.25" customHeight="1" x14ac:dyDescent="0.15"/>
    <row r="47" spans="6:14" ht="14.25" customHeight="1" x14ac:dyDescent="0.15"/>
    <row r="48" spans="6:14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</sheetData>
  <mergeCells count="6">
    <mergeCell ref="G25:N25"/>
    <mergeCell ref="G2:N2"/>
    <mergeCell ref="G3:N3"/>
    <mergeCell ref="G13:N13"/>
    <mergeCell ref="G14:N14"/>
    <mergeCell ref="G24:N24"/>
  </mergeCells>
  <pageMargins left="0.69930555555555596" right="0.69930555555555596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00"/>
  <sheetViews>
    <sheetView tabSelected="1" workbookViewId="0">
      <selection activeCell="B38" sqref="B38"/>
    </sheetView>
  </sheetViews>
  <sheetFormatPr baseColWidth="10" defaultColWidth="12.6640625" defaultRowHeight="15" customHeight="1" x14ac:dyDescent="0.15"/>
  <cols>
    <col min="1" max="1" width="7.83203125" customWidth="1"/>
    <col min="2" max="2" width="14.83203125" customWidth="1"/>
    <col min="3" max="3" width="15" customWidth="1"/>
    <col min="4" max="4" width="11.6640625" customWidth="1"/>
    <col min="5" max="5" width="7.83203125" customWidth="1"/>
    <col min="6" max="14" width="5.6640625" customWidth="1"/>
    <col min="15" max="26" width="7.83203125" customWidth="1"/>
  </cols>
  <sheetData>
    <row r="1" spans="2:15" ht="14.25" customHeight="1" thickBot="1" x14ac:dyDescent="0.25">
      <c r="B1" s="1"/>
      <c r="C1" s="1"/>
      <c r="D1" s="1"/>
      <c r="E1" s="1"/>
    </row>
    <row r="2" spans="2:15" ht="14.25" customHeight="1" x14ac:dyDescent="0.2">
      <c r="B2" s="2" t="s">
        <v>0</v>
      </c>
      <c r="C2" s="3" t="s">
        <v>1</v>
      </c>
      <c r="D2" s="4" t="s">
        <v>2</v>
      </c>
      <c r="E2" s="1"/>
      <c r="F2" s="5"/>
      <c r="G2" s="64" t="s">
        <v>3</v>
      </c>
      <c r="H2" s="65"/>
      <c r="I2" s="65"/>
      <c r="J2" s="65"/>
      <c r="K2" s="65"/>
      <c r="L2" s="65"/>
      <c r="M2" s="65"/>
      <c r="N2" s="66"/>
    </row>
    <row r="3" spans="2:15" ht="14.25" customHeight="1" thickBot="1" x14ac:dyDescent="0.25">
      <c r="B3" s="6" t="s">
        <v>4</v>
      </c>
      <c r="C3" s="7" t="s">
        <v>1</v>
      </c>
      <c r="D3" s="8" t="s">
        <v>2</v>
      </c>
      <c r="E3" s="1"/>
      <c r="F3" s="1"/>
      <c r="G3" s="61" t="s">
        <v>5</v>
      </c>
      <c r="H3" s="62"/>
      <c r="I3" s="62"/>
      <c r="J3" s="62"/>
      <c r="K3" s="62"/>
      <c r="L3" s="62"/>
      <c r="M3" s="62"/>
      <c r="N3" s="63"/>
    </row>
    <row r="4" spans="2:15" ht="14.25" customHeight="1" thickBot="1" x14ac:dyDescent="0.25">
      <c r="B4" s="9" t="s">
        <v>6</v>
      </c>
      <c r="C4" s="10" t="s">
        <v>1</v>
      </c>
      <c r="D4" s="11" t="s">
        <v>7</v>
      </c>
      <c r="E4" s="1"/>
      <c r="F4" s="12" t="s">
        <v>8</v>
      </c>
      <c r="G4" s="13">
        <v>0</v>
      </c>
      <c r="H4" s="14">
        <v>2</v>
      </c>
      <c r="I4" s="14">
        <v>18</v>
      </c>
      <c r="J4" s="14">
        <v>24</v>
      </c>
      <c r="K4" s="14">
        <v>48</v>
      </c>
      <c r="L4" s="14">
        <v>72</v>
      </c>
      <c r="M4" s="14" t="s">
        <v>9</v>
      </c>
      <c r="N4" s="15" t="s">
        <v>9</v>
      </c>
    </row>
    <row r="5" spans="2:15" ht="14.25" customHeight="1" thickBot="1" x14ac:dyDescent="0.25">
      <c r="B5" s="16"/>
      <c r="C5" s="1"/>
      <c r="D5" s="1"/>
      <c r="E5" s="1"/>
      <c r="F5" s="17">
        <v>1</v>
      </c>
      <c r="G5" s="18">
        <v>0</v>
      </c>
      <c r="I5" s="19"/>
      <c r="J5" s="19"/>
      <c r="K5" s="19"/>
      <c r="L5" s="20"/>
      <c r="M5" s="20"/>
      <c r="N5" s="21"/>
      <c r="O5" s="22"/>
    </row>
    <row r="6" spans="2:15" ht="14.25" customHeight="1" thickBot="1" x14ac:dyDescent="0.25">
      <c r="B6" s="2" t="s">
        <v>10</v>
      </c>
      <c r="C6" s="23" t="s">
        <v>1</v>
      </c>
      <c r="D6" s="4" t="s">
        <v>11</v>
      </c>
      <c r="E6" s="1"/>
      <c r="F6" s="24">
        <v>2</v>
      </c>
      <c r="G6" s="18">
        <v>0</v>
      </c>
      <c r="H6" s="25"/>
      <c r="I6" s="25"/>
      <c r="J6" s="25"/>
      <c r="K6" s="1"/>
      <c r="L6" s="1"/>
      <c r="M6" s="1"/>
      <c r="N6" s="26"/>
      <c r="O6" s="22"/>
    </row>
    <row r="7" spans="2:15" ht="14.25" customHeight="1" thickBot="1" x14ac:dyDescent="0.25">
      <c r="B7" s="6" t="s">
        <v>12</v>
      </c>
      <c r="C7" s="27" t="s">
        <v>1</v>
      </c>
      <c r="D7" s="8" t="s">
        <v>13</v>
      </c>
      <c r="E7" s="1"/>
      <c r="F7" s="24">
        <v>3</v>
      </c>
      <c r="G7" s="18">
        <v>0</v>
      </c>
      <c r="H7" s="1"/>
      <c r="I7" s="1"/>
      <c r="J7" s="1"/>
      <c r="K7" s="1"/>
      <c r="L7" s="1"/>
      <c r="M7" s="1"/>
      <c r="N7" s="26"/>
      <c r="O7" s="22"/>
    </row>
    <row r="8" spans="2:15" ht="14.25" customHeight="1" thickBot="1" x14ac:dyDescent="0.25">
      <c r="B8" s="6" t="s">
        <v>14</v>
      </c>
      <c r="C8" s="28">
        <v>5</v>
      </c>
      <c r="D8" s="8" t="s">
        <v>15</v>
      </c>
      <c r="E8" s="1"/>
      <c r="F8" s="24">
        <v>4</v>
      </c>
      <c r="G8" s="18">
        <v>0</v>
      </c>
      <c r="H8" s="1"/>
      <c r="I8" s="1"/>
      <c r="J8" s="1"/>
      <c r="K8" s="1"/>
      <c r="L8" s="1"/>
      <c r="M8" s="1"/>
      <c r="N8" s="26"/>
      <c r="O8" s="22"/>
    </row>
    <row r="9" spans="2:15" ht="14.25" customHeight="1" thickBot="1" x14ac:dyDescent="0.25">
      <c r="B9" s="6" t="s">
        <v>16</v>
      </c>
      <c r="C9" s="27" t="s">
        <v>1</v>
      </c>
      <c r="D9" s="8" t="s">
        <v>17</v>
      </c>
      <c r="E9" s="1"/>
      <c r="F9" s="29">
        <v>5</v>
      </c>
      <c r="G9" s="18">
        <v>0</v>
      </c>
      <c r="H9" s="30"/>
      <c r="I9" s="30"/>
      <c r="J9" s="30"/>
      <c r="K9" s="30"/>
      <c r="L9" s="30"/>
      <c r="M9" s="30"/>
      <c r="N9" s="31"/>
    </row>
    <row r="10" spans="2:15" ht="14.25" customHeight="1" x14ac:dyDescent="0.2">
      <c r="B10" s="6" t="s">
        <v>18</v>
      </c>
      <c r="C10" s="27" t="s">
        <v>1</v>
      </c>
      <c r="D10" s="8" t="s">
        <v>19</v>
      </c>
      <c r="E10" s="1"/>
      <c r="F10" s="32" t="s">
        <v>20</v>
      </c>
      <c r="G10" s="33">
        <f t="shared" ref="G10:N10" si="0">AVERAGE(G5:G9)</f>
        <v>0</v>
      </c>
      <c r="H10" s="34" t="e">
        <f t="shared" si="0"/>
        <v>#DIV/0!</v>
      </c>
      <c r="I10" s="34" t="e">
        <f t="shared" si="0"/>
        <v>#DIV/0!</v>
      </c>
      <c r="J10" s="34" t="e">
        <f t="shared" si="0"/>
        <v>#DIV/0!</v>
      </c>
      <c r="K10" s="34" t="e">
        <f t="shared" si="0"/>
        <v>#DIV/0!</v>
      </c>
      <c r="L10" s="34" t="e">
        <f t="shared" si="0"/>
        <v>#DIV/0!</v>
      </c>
      <c r="M10" s="34" t="e">
        <f t="shared" si="0"/>
        <v>#DIV/0!</v>
      </c>
      <c r="N10" s="35" t="e">
        <f t="shared" si="0"/>
        <v>#DIV/0!</v>
      </c>
    </row>
    <row r="11" spans="2:15" ht="14.25" customHeight="1" thickBot="1" x14ac:dyDescent="0.25">
      <c r="B11" s="9" t="s">
        <v>21</v>
      </c>
      <c r="C11" s="10" t="s">
        <v>1</v>
      </c>
      <c r="D11" s="11" t="s">
        <v>22</v>
      </c>
      <c r="E11" s="1"/>
      <c r="F11" s="36" t="s">
        <v>23</v>
      </c>
      <c r="G11" s="37">
        <f t="shared" ref="G11:N11" si="1">_xlfn.STDEV.S(G5:G9)</f>
        <v>0</v>
      </c>
      <c r="H11" s="37" t="e">
        <f t="shared" si="1"/>
        <v>#DIV/0!</v>
      </c>
      <c r="I11" s="37" t="e">
        <f t="shared" si="1"/>
        <v>#DIV/0!</v>
      </c>
      <c r="J11" s="37" t="e">
        <f t="shared" si="1"/>
        <v>#DIV/0!</v>
      </c>
      <c r="K11" s="37" t="e">
        <f t="shared" si="1"/>
        <v>#DIV/0!</v>
      </c>
      <c r="L11" s="37" t="e">
        <f t="shared" si="1"/>
        <v>#DIV/0!</v>
      </c>
      <c r="M11" s="37" t="e">
        <f t="shared" si="1"/>
        <v>#DIV/0!</v>
      </c>
      <c r="N11" s="37" t="e">
        <f t="shared" si="1"/>
        <v>#DIV/0!</v>
      </c>
    </row>
    <row r="12" spans="2:15" ht="14.25" customHeight="1" thickBot="1" x14ac:dyDescent="0.25">
      <c r="D12" s="1"/>
      <c r="E12" s="1"/>
    </row>
    <row r="13" spans="2:15" ht="14.25" customHeight="1" thickBot="1" x14ac:dyDescent="0.25">
      <c r="B13" s="38" t="s">
        <v>24</v>
      </c>
      <c r="C13" s="39" t="s">
        <v>25</v>
      </c>
      <c r="D13" s="1"/>
      <c r="E13" s="1"/>
      <c r="F13" s="5"/>
      <c r="G13" s="67" t="s">
        <v>26</v>
      </c>
      <c r="H13" s="65"/>
      <c r="I13" s="65"/>
      <c r="J13" s="65"/>
      <c r="K13" s="65"/>
      <c r="L13" s="65"/>
      <c r="M13" s="65"/>
      <c r="N13" s="66"/>
    </row>
    <row r="14" spans="2:15" ht="14.25" customHeight="1" thickBot="1" x14ac:dyDescent="0.25">
      <c r="B14" s="40">
        <v>1</v>
      </c>
      <c r="C14" s="41" t="s">
        <v>1</v>
      </c>
      <c r="D14" s="1"/>
      <c r="E14" s="1"/>
      <c r="F14" s="42"/>
      <c r="G14" s="61" t="s">
        <v>5</v>
      </c>
      <c r="H14" s="62"/>
      <c r="I14" s="62"/>
      <c r="J14" s="62"/>
      <c r="K14" s="62"/>
      <c r="L14" s="62"/>
      <c r="M14" s="62"/>
      <c r="N14" s="63"/>
    </row>
    <row r="15" spans="2:15" ht="14.25" customHeight="1" thickBot="1" x14ac:dyDescent="0.25">
      <c r="B15" s="43">
        <v>2</v>
      </c>
      <c r="C15" s="44" t="s">
        <v>1</v>
      </c>
      <c r="D15" s="1"/>
      <c r="E15" s="1"/>
      <c r="F15" s="12" t="s">
        <v>8</v>
      </c>
      <c r="G15" s="45">
        <f t="shared" ref="G15:N15" si="2">G4</f>
        <v>0</v>
      </c>
      <c r="H15" s="45">
        <f t="shared" si="2"/>
        <v>2</v>
      </c>
      <c r="I15" s="45">
        <f t="shared" si="2"/>
        <v>18</v>
      </c>
      <c r="J15" s="45">
        <f t="shared" si="2"/>
        <v>24</v>
      </c>
      <c r="K15" s="45">
        <f t="shared" si="2"/>
        <v>48</v>
      </c>
      <c r="L15" s="45">
        <f t="shared" si="2"/>
        <v>72</v>
      </c>
      <c r="M15" s="45" t="str">
        <f t="shared" si="2"/>
        <v>-</v>
      </c>
      <c r="N15" s="45" t="str">
        <f t="shared" si="2"/>
        <v>-</v>
      </c>
    </row>
    <row r="16" spans="2:15" ht="14.25" customHeight="1" thickBot="1" x14ac:dyDescent="0.25">
      <c r="B16" s="43">
        <v>3</v>
      </c>
      <c r="C16" s="44" t="s">
        <v>1</v>
      </c>
      <c r="F16" s="17">
        <f t="shared" ref="F16:F20" si="3">F5</f>
        <v>1</v>
      </c>
      <c r="G16" s="46">
        <v>0</v>
      </c>
      <c r="H16" s="20">
        <f>I5*$C$8/1000</f>
        <v>0</v>
      </c>
      <c r="I16" s="1">
        <f t="shared" ref="I16:N16" si="4">I5*$C$8/1000</f>
        <v>0</v>
      </c>
      <c r="J16" s="20">
        <f t="shared" si="4"/>
        <v>0</v>
      </c>
      <c r="K16" s="20">
        <f t="shared" si="4"/>
        <v>0</v>
      </c>
      <c r="L16" s="20">
        <f t="shared" si="4"/>
        <v>0</v>
      </c>
      <c r="M16" s="20">
        <f t="shared" si="4"/>
        <v>0</v>
      </c>
      <c r="N16" s="21">
        <f t="shared" si="4"/>
        <v>0</v>
      </c>
    </row>
    <row r="17" spans="2:14" ht="14.25" customHeight="1" thickBot="1" x14ac:dyDescent="0.25">
      <c r="B17" s="43">
        <v>4</v>
      </c>
      <c r="C17" s="44" t="s">
        <v>1</v>
      </c>
      <c r="F17" s="17">
        <f t="shared" si="3"/>
        <v>2</v>
      </c>
      <c r="G17" s="47">
        <v>0</v>
      </c>
      <c r="H17" s="1">
        <f t="shared" ref="H17:N20" si="5">H6*$C$8/1000</f>
        <v>0</v>
      </c>
      <c r="I17" s="1">
        <f t="shared" si="5"/>
        <v>0</v>
      </c>
      <c r="J17" s="1">
        <f t="shared" si="5"/>
        <v>0</v>
      </c>
      <c r="K17" s="1">
        <f t="shared" si="5"/>
        <v>0</v>
      </c>
      <c r="L17" s="1">
        <f t="shared" si="5"/>
        <v>0</v>
      </c>
      <c r="M17" s="1">
        <f t="shared" si="5"/>
        <v>0</v>
      </c>
      <c r="N17" s="26">
        <f t="shared" si="5"/>
        <v>0</v>
      </c>
    </row>
    <row r="18" spans="2:14" ht="14.25" customHeight="1" thickBot="1" x14ac:dyDescent="0.25">
      <c r="B18" s="48">
        <v>5</v>
      </c>
      <c r="C18" s="49" t="s">
        <v>1</v>
      </c>
      <c r="F18" s="17">
        <f t="shared" si="3"/>
        <v>3</v>
      </c>
      <c r="G18" s="47">
        <v>0</v>
      </c>
      <c r="H18" s="1">
        <f t="shared" si="5"/>
        <v>0</v>
      </c>
      <c r="I18" s="1">
        <f t="shared" si="5"/>
        <v>0</v>
      </c>
      <c r="J18" s="1">
        <f t="shared" si="5"/>
        <v>0</v>
      </c>
      <c r="K18" s="1">
        <f t="shared" si="5"/>
        <v>0</v>
      </c>
      <c r="L18" s="1">
        <f t="shared" si="5"/>
        <v>0</v>
      </c>
      <c r="M18" s="1">
        <f t="shared" si="5"/>
        <v>0</v>
      </c>
      <c r="N18" s="26">
        <f t="shared" si="5"/>
        <v>0</v>
      </c>
    </row>
    <row r="19" spans="2:14" ht="14.25" customHeight="1" thickBot="1" x14ac:dyDescent="0.25">
      <c r="F19" s="17">
        <f t="shared" si="3"/>
        <v>4</v>
      </c>
      <c r="G19" s="47">
        <v>0</v>
      </c>
      <c r="H19" s="1">
        <f t="shared" si="5"/>
        <v>0</v>
      </c>
      <c r="I19" s="1">
        <f t="shared" si="5"/>
        <v>0</v>
      </c>
      <c r="J19" s="1">
        <f t="shared" si="5"/>
        <v>0</v>
      </c>
      <c r="K19" s="1">
        <f t="shared" si="5"/>
        <v>0</v>
      </c>
      <c r="L19" s="1">
        <f t="shared" si="5"/>
        <v>0</v>
      </c>
      <c r="M19" s="1">
        <f t="shared" si="5"/>
        <v>0</v>
      </c>
      <c r="N19" s="26">
        <f t="shared" si="5"/>
        <v>0</v>
      </c>
    </row>
    <row r="20" spans="2:14" ht="14.25" customHeight="1" thickBot="1" x14ac:dyDescent="0.25">
      <c r="F20" s="17">
        <f t="shared" si="3"/>
        <v>5</v>
      </c>
      <c r="G20" s="50">
        <v>0</v>
      </c>
      <c r="H20" s="30">
        <f t="shared" si="5"/>
        <v>0</v>
      </c>
      <c r="I20" s="30">
        <f t="shared" si="5"/>
        <v>0</v>
      </c>
      <c r="J20" s="30">
        <f t="shared" si="5"/>
        <v>0</v>
      </c>
      <c r="K20" s="30">
        <f t="shared" si="5"/>
        <v>0</v>
      </c>
      <c r="L20" s="30">
        <f t="shared" si="5"/>
        <v>0</v>
      </c>
      <c r="M20" s="30">
        <f t="shared" si="5"/>
        <v>0</v>
      </c>
      <c r="N20" s="31">
        <f t="shared" si="5"/>
        <v>0</v>
      </c>
    </row>
    <row r="21" spans="2:14" ht="14.25" customHeight="1" x14ac:dyDescent="0.2">
      <c r="F21" s="32" t="s">
        <v>20</v>
      </c>
      <c r="G21" s="33">
        <f t="shared" ref="G21:N21" si="6">AVERAGE(G16:G20)</f>
        <v>0</v>
      </c>
      <c r="H21" s="34">
        <f t="shared" si="6"/>
        <v>0</v>
      </c>
      <c r="I21" s="34">
        <f t="shared" si="6"/>
        <v>0</v>
      </c>
      <c r="J21" s="34">
        <f t="shared" si="6"/>
        <v>0</v>
      </c>
      <c r="K21" s="34">
        <f t="shared" si="6"/>
        <v>0</v>
      </c>
      <c r="L21" s="34">
        <f t="shared" si="6"/>
        <v>0</v>
      </c>
      <c r="M21" s="34">
        <f t="shared" si="6"/>
        <v>0</v>
      </c>
      <c r="N21" s="35">
        <f t="shared" si="6"/>
        <v>0</v>
      </c>
    </row>
    <row r="22" spans="2:14" ht="14.25" customHeight="1" thickBot="1" x14ac:dyDescent="0.25">
      <c r="F22" s="36" t="s">
        <v>23</v>
      </c>
      <c r="G22" s="37">
        <f t="shared" ref="G22:N22" si="7">_xlfn.STDEV.S(G16:G20)</f>
        <v>0</v>
      </c>
      <c r="H22" s="37">
        <f t="shared" si="7"/>
        <v>0</v>
      </c>
      <c r="I22" s="37">
        <f t="shared" si="7"/>
        <v>0</v>
      </c>
      <c r="J22" s="37">
        <f t="shared" si="7"/>
        <v>0</v>
      </c>
      <c r="K22" s="37">
        <f t="shared" si="7"/>
        <v>0</v>
      </c>
      <c r="L22" s="37">
        <f t="shared" si="7"/>
        <v>0</v>
      </c>
      <c r="M22" s="37">
        <f t="shared" si="7"/>
        <v>0</v>
      </c>
      <c r="N22" s="37">
        <f t="shared" si="7"/>
        <v>0</v>
      </c>
    </row>
    <row r="23" spans="2:14" ht="14.25" customHeight="1" x14ac:dyDescent="0.15"/>
    <row r="24" spans="2:14" ht="14.25" customHeight="1" x14ac:dyDescent="0.2">
      <c r="F24" s="5"/>
      <c r="G24" s="68" t="s">
        <v>27</v>
      </c>
      <c r="H24" s="65"/>
      <c r="I24" s="65"/>
      <c r="J24" s="65"/>
      <c r="K24" s="65"/>
      <c r="L24" s="65"/>
      <c r="M24" s="65"/>
      <c r="N24" s="66"/>
    </row>
    <row r="25" spans="2:14" ht="14.25" customHeight="1" thickBot="1" x14ac:dyDescent="0.25">
      <c r="F25" s="42"/>
      <c r="G25" s="61" t="s">
        <v>5</v>
      </c>
      <c r="H25" s="62"/>
      <c r="I25" s="62"/>
      <c r="J25" s="62"/>
      <c r="K25" s="62"/>
      <c r="L25" s="62"/>
      <c r="M25" s="62"/>
      <c r="N25" s="63"/>
    </row>
    <row r="26" spans="2:14" ht="14.25" customHeight="1" thickBot="1" x14ac:dyDescent="0.25">
      <c r="F26" s="12" t="s">
        <v>8</v>
      </c>
      <c r="G26" s="13">
        <f t="shared" ref="G26:N26" si="8">G4</f>
        <v>0</v>
      </c>
      <c r="H26" s="13">
        <f t="shared" si="8"/>
        <v>2</v>
      </c>
      <c r="I26" s="13">
        <f t="shared" si="8"/>
        <v>18</v>
      </c>
      <c r="J26" s="13">
        <f t="shared" si="8"/>
        <v>24</v>
      </c>
      <c r="K26" s="13">
        <f t="shared" si="8"/>
        <v>48</v>
      </c>
      <c r="L26" s="13">
        <f t="shared" si="8"/>
        <v>72</v>
      </c>
      <c r="M26" s="13" t="str">
        <f t="shared" si="8"/>
        <v>-</v>
      </c>
      <c r="N26" s="13" t="str">
        <f t="shared" si="8"/>
        <v>-</v>
      </c>
    </row>
    <row r="27" spans="2:14" ht="14.25" customHeight="1" thickBot="1" x14ac:dyDescent="0.25">
      <c r="F27" s="17">
        <f t="shared" ref="F27:F31" si="9">F5</f>
        <v>1</v>
      </c>
      <c r="G27" s="51">
        <v>0</v>
      </c>
      <c r="H27" s="52" t="e">
        <f t="shared" ref="H27:N31" si="10">H16/$C14/1000</f>
        <v>#VALUE!</v>
      </c>
      <c r="I27" s="52" t="e">
        <f t="shared" si="10"/>
        <v>#VALUE!</v>
      </c>
      <c r="J27" s="52" t="e">
        <f t="shared" si="10"/>
        <v>#VALUE!</v>
      </c>
      <c r="K27" s="52" t="e">
        <f t="shared" si="10"/>
        <v>#VALUE!</v>
      </c>
      <c r="L27" s="52" t="e">
        <f t="shared" si="10"/>
        <v>#VALUE!</v>
      </c>
      <c r="M27" s="52" t="e">
        <f t="shared" si="10"/>
        <v>#VALUE!</v>
      </c>
      <c r="N27" s="53" t="e">
        <f t="shared" si="10"/>
        <v>#VALUE!</v>
      </c>
    </row>
    <row r="28" spans="2:14" ht="14.25" customHeight="1" thickBot="1" x14ac:dyDescent="0.25">
      <c r="F28" s="17">
        <f t="shared" si="9"/>
        <v>2</v>
      </c>
      <c r="G28" s="54">
        <v>0</v>
      </c>
      <c r="H28" s="55" t="e">
        <f t="shared" si="10"/>
        <v>#VALUE!</v>
      </c>
      <c r="I28" s="55" t="e">
        <f t="shared" si="10"/>
        <v>#VALUE!</v>
      </c>
      <c r="J28" s="55" t="e">
        <f t="shared" si="10"/>
        <v>#VALUE!</v>
      </c>
      <c r="K28" s="55" t="e">
        <f t="shared" si="10"/>
        <v>#VALUE!</v>
      </c>
      <c r="L28" s="55" t="e">
        <f t="shared" si="10"/>
        <v>#VALUE!</v>
      </c>
      <c r="M28" s="55" t="e">
        <f t="shared" si="10"/>
        <v>#VALUE!</v>
      </c>
      <c r="N28" s="56" t="e">
        <f t="shared" si="10"/>
        <v>#VALUE!</v>
      </c>
    </row>
    <row r="29" spans="2:14" ht="14.25" customHeight="1" thickBot="1" x14ac:dyDescent="0.25">
      <c r="F29" s="17">
        <f t="shared" si="9"/>
        <v>3</v>
      </c>
      <c r="G29" s="54">
        <v>0</v>
      </c>
      <c r="H29" s="55" t="e">
        <f t="shared" si="10"/>
        <v>#VALUE!</v>
      </c>
      <c r="I29" s="55" t="e">
        <f t="shared" si="10"/>
        <v>#VALUE!</v>
      </c>
      <c r="J29" s="55" t="e">
        <f t="shared" si="10"/>
        <v>#VALUE!</v>
      </c>
      <c r="K29" s="55" t="e">
        <f t="shared" si="10"/>
        <v>#VALUE!</v>
      </c>
      <c r="L29" s="55" t="e">
        <f t="shared" si="10"/>
        <v>#VALUE!</v>
      </c>
      <c r="M29" s="55" t="e">
        <f t="shared" si="10"/>
        <v>#VALUE!</v>
      </c>
      <c r="N29" s="56" t="e">
        <f t="shared" si="10"/>
        <v>#VALUE!</v>
      </c>
    </row>
    <row r="30" spans="2:14" ht="14.25" customHeight="1" thickBot="1" x14ac:dyDescent="0.25">
      <c r="F30" s="17">
        <f t="shared" si="9"/>
        <v>4</v>
      </c>
      <c r="G30" s="54">
        <v>0</v>
      </c>
      <c r="H30" s="55" t="e">
        <f t="shared" si="10"/>
        <v>#VALUE!</v>
      </c>
      <c r="I30" s="55" t="e">
        <f t="shared" si="10"/>
        <v>#VALUE!</v>
      </c>
      <c r="J30" s="55" t="e">
        <f t="shared" si="10"/>
        <v>#VALUE!</v>
      </c>
      <c r="K30" s="55" t="e">
        <f t="shared" si="10"/>
        <v>#VALUE!</v>
      </c>
      <c r="L30" s="55" t="e">
        <f t="shared" si="10"/>
        <v>#VALUE!</v>
      </c>
      <c r="M30" s="55" t="e">
        <f t="shared" si="10"/>
        <v>#VALUE!</v>
      </c>
      <c r="N30" s="56" t="e">
        <f t="shared" si="10"/>
        <v>#VALUE!</v>
      </c>
    </row>
    <row r="31" spans="2:14" ht="14.25" customHeight="1" thickBot="1" x14ac:dyDescent="0.25">
      <c r="F31" s="17">
        <f t="shared" si="9"/>
        <v>5</v>
      </c>
      <c r="G31" s="57">
        <v>0</v>
      </c>
      <c r="H31" s="58" t="e">
        <f t="shared" si="10"/>
        <v>#VALUE!</v>
      </c>
      <c r="I31" s="58" t="e">
        <f t="shared" si="10"/>
        <v>#VALUE!</v>
      </c>
      <c r="J31" s="58" t="e">
        <f t="shared" si="10"/>
        <v>#VALUE!</v>
      </c>
      <c r="K31" s="58" t="e">
        <f t="shared" si="10"/>
        <v>#VALUE!</v>
      </c>
      <c r="L31" s="58" t="e">
        <f t="shared" si="10"/>
        <v>#VALUE!</v>
      </c>
      <c r="M31" s="58" t="e">
        <f t="shared" si="10"/>
        <v>#VALUE!</v>
      </c>
      <c r="N31" s="58" t="e">
        <f t="shared" si="10"/>
        <v>#VALUE!</v>
      </c>
    </row>
    <row r="32" spans="2:14" ht="14.25" customHeight="1" x14ac:dyDescent="0.2">
      <c r="F32" s="32" t="s">
        <v>20</v>
      </c>
      <c r="G32" s="59">
        <f t="shared" ref="G32:N32" si="11">AVERAGE(G27:G31)</f>
        <v>0</v>
      </c>
      <c r="H32" s="60" t="e">
        <f t="shared" si="11"/>
        <v>#VALUE!</v>
      </c>
      <c r="I32" s="60" t="e">
        <f t="shared" si="11"/>
        <v>#VALUE!</v>
      </c>
      <c r="J32" s="60" t="e">
        <f t="shared" si="11"/>
        <v>#VALUE!</v>
      </c>
      <c r="K32" s="60" t="e">
        <f t="shared" si="11"/>
        <v>#VALUE!</v>
      </c>
      <c r="L32" s="60" t="e">
        <f t="shared" si="11"/>
        <v>#VALUE!</v>
      </c>
      <c r="M32" s="60" t="e">
        <f t="shared" si="11"/>
        <v>#VALUE!</v>
      </c>
      <c r="N32" s="60" t="e">
        <f t="shared" si="11"/>
        <v>#VALUE!</v>
      </c>
    </row>
    <row r="33" spans="6:14" ht="14.25" customHeight="1" thickBot="1" x14ac:dyDescent="0.25">
      <c r="F33" s="36" t="s">
        <v>23</v>
      </c>
      <c r="G33" s="37">
        <f t="shared" ref="G33:N33" si="12">_xlfn.STDEV.S(G27:G31)</f>
        <v>0</v>
      </c>
      <c r="H33" s="37" t="e">
        <f t="shared" si="12"/>
        <v>#VALUE!</v>
      </c>
      <c r="I33" s="37" t="e">
        <f t="shared" si="12"/>
        <v>#VALUE!</v>
      </c>
      <c r="J33" s="37" t="e">
        <f t="shared" si="12"/>
        <v>#VALUE!</v>
      </c>
      <c r="K33" s="37" t="e">
        <f t="shared" si="12"/>
        <v>#VALUE!</v>
      </c>
      <c r="L33" s="37" t="e">
        <f t="shared" si="12"/>
        <v>#VALUE!</v>
      </c>
      <c r="M33" s="37" t="e">
        <f t="shared" si="12"/>
        <v>#VALUE!</v>
      </c>
      <c r="N33" s="37" t="e">
        <f t="shared" si="12"/>
        <v>#VALUE!</v>
      </c>
    </row>
    <row r="34" spans="6:14" ht="14.25" customHeight="1" x14ac:dyDescent="0.15"/>
    <row r="35" spans="6:14" ht="14.25" customHeight="1" x14ac:dyDescent="0.15"/>
    <row r="36" spans="6:14" ht="14.25" customHeight="1" x14ac:dyDescent="0.15"/>
    <row r="37" spans="6:14" ht="14.25" customHeight="1" x14ac:dyDescent="0.15"/>
    <row r="38" spans="6:14" ht="14.25" customHeight="1" x14ac:dyDescent="0.15"/>
    <row r="39" spans="6:14" ht="14.25" customHeight="1" x14ac:dyDescent="0.15"/>
    <row r="40" spans="6:14" ht="14.25" customHeight="1" x14ac:dyDescent="0.15"/>
    <row r="41" spans="6:14" ht="14.25" customHeight="1" x14ac:dyDescent="0.15"/>
    <row r="42" spans="6:14" ht="14.25" customHeight="1" x14ac:dyDescent="0.15"/>
    <row r="43" spans="6:14" ht="14.25" customHeight="1" x14ac:dyDescent="0.15"/>
    <row r="44" spans="6:14" ht="14.25" customHeight="1" x14ac:dyDescent="0.15"/>
    <row r="45" spans="6:14" ht="14.25" customHeight="1" x14ac:dyDescent="0.15"/>
    <row r="46" spans="6:14" ht="14.25" customHeight="1" x14ac:dyDescent="0.15"/>
    <row r="47" spans="6:14" ht="14.25" customHeight="1" x14ac:dyDescent="0.15"/>
    <row r="48" spans="6:14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</sheetData>
  <mergeCells count="6">
    <mergeCell ref="G25:N25"/>
    <mergeCell ref="G2:N2"/>
    <mergeCell ref="G3:N3"/>
    <mergeCell ref="G13:N13"/>
    <mergeCell ref="G14:N14"/>
    <mergeCell ref="G24:N24"/>
  </mergeCells>
  <pageMargins left="0.69930555555555596" right="0.69930555555555596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</vt:lpstr>
      <vt:lpstr>S2</vt:lpstr>
      <vt:lpstr>Blank S1</vt:lpstr>
      <vt:lpstr>Blank S2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2020-08-21T02:36:31Z</dcterms:created>
  <dcterms:modified xsi:type="dcterms:W3CDTF">2020-08-21T08:18:00Z</dcterms:modified>
</cp:coreProperties>
</file>